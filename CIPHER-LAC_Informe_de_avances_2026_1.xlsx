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yamileehurtadoroca/Library/CloudStorage/Dropbox/UCSUR/GRUPO DE INVESTIGACIÓN/REPORTE AVANCES/"/>
    </mc:Choice>
  </mc:AlternateContent>
  <xr:revisionPtr revIDLastSave="0" documentId="8_{D2F87BB0-0F73-5445-B2E7-66030EFD23DA}" xr6:coauthVersionLast="47" xr6:coauthVersionMax="47" xr10:uidLastSave="{00000000-0000-0000-0000-000000000000}"/>
  <bookViews>
    <workbookView xWindow="0" yWindow="660" windowWidth="29400" windowHeight="17340" tabRatio="500" activeTab="1" xr2:uid="{00000000-000D-0000-FFFF-FFFF00000000}"/>
  </bookViews>
  <sheets>
    <sheet name="Resumen" sheetId="1" r:id="rId1"/>
    <sheet name="Líneas UCSUR" sheetId="2" r:id="rId2"/>
    <sheet name="Proyectos 2026" sheetId="3" r:id="rId3"/>
    <sheet name="Producción científica" sheetId="4" r:id="rId4"/>
    <sheet name="Tesis 2026" sheetId="5" r:id="rId5"/>
    <sheet name="Postulaciones" sheetId="6" r:id="rId6"/>
    <sheet name="Difusión CTI" sheetId="7" r:id="rId7"/>
    <sheet name="Equipo" sheetId="8" r:id="rId8"/>
    <sheet name="Pendientes y acciones" sheetId="9" r:id="rId9"/>
  </sheets>
  <definedNames>
    <definedName name="_xlnm._FilterDatabase" localSheetId="7" hidden="1">Equipo!$A$4:$L$32</definedName>
    <definedName name="_xlnm._FilterDatabase" localSheetId="1" hidden="1">'Líneas UCSUR'!$A$4:$I$41</definedName>
    <definedName name="_xlnm._FilterDatabase" localSheetId="8" hidden="1">'Pendientes y acciones'!$A$4:$H$17</definedName>
    <definedName name="_xlnm._FilterDatabase" localSheetId="3" hidden="1">'Producción científica'!$A$4:$K$12</definedName>
    <definedName name="_xlnm._FilterDatabase" localSheetId="2" hidden="1">'Proyectos 2026'!$A$4:$U$14</definedName>
    <definedName name="_xlnm._FilterDatabase" localSheetId="4" hidden="1">'Tesis 2026'!$A$4:$N$15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6" i="8" l="1"/>
  <c r="C35" i="8"/>
  <c r="C34" i="8"/>
  <c r="C35" i="1" s="1"/>
  <c r="J32" i="8"/>
  <c r="I32" i="8"/>
  <c r="H32" i="8"/>
  <c r="G32" i="8"/>
  <c r="F32" i="8"/>
  <c r="E32" i="8"/>
  <c r="J31" i="8"/>
  <c r="I31" i="8"/>
  <c r="H31" i="8"/>
  <c r="G31" i="8"/>
  <c r="F31" i="8"/>
  <c r="E31" i="8"/>
  <c r="J30" i="8"/>
  <c r="I30" i="8"/>
  <c r="H30" i="8"/>
  <c r="G30" i="8"/>
  <c r="F30" i="8"/>
  <c r="E30" i="8"/>
  <c r="J29" i="8"/>
  <c r="I29" i="8"/>
  <c r="H29" i="8"/>
  <c r="G29" i="8"/>
  <c r="F29" i="8"/>
  <c r="E29" i="8"/>
  <c r="J28" i="8"/>
  <c r="I28" i="8"/>
  <c r="H28" i="8"/>
  <c r="G28" i="8"/>
  <c r="F28" i="8"/>
  <c r="E28" i="8"/>
  <c r="J27" i="8"/>
  <c r="I27" i="8"/>
  <c r="H27" i="8"/>
  <c r="G27" i="8"/>
  <c r="F27" i="8"/>
  <c r="E27" i="8"/>
  <c r="J26" i="8"/>
  <c r="I26" i="8"/>
  <c r="H26" i="8"/>
  <c r="G26" i="8"/>
  <c r="F26" i="8"/>
  <c r="E26" i="8"/>
  <c r="L25" i="8"/>
  <c r="K25" i="8"/>
  <c r="J25" i="8"/>
  <c r="I25" i="8"/>
  <c r="H25" i="8"/>
  <c r="G25" i="8"/>
  <c r="F25" i="8"/>
  <c r="E25" i="8"/>
  <c r="J24" i="8"/>
  <c r="I24" i="8"/>
  <c r="H24" i="8"/>
  <c r="G24" i="8"/>
  <c r="F24" i="8"/>
  <c r="E24" i="8"/>
  <c r="J23" i="8"/>
  <c r="I23" i="8"/>
  <c r="H23" i="8"/>
  <c r="G23" i="8"/>
  <c r="F23" i="8"/>
  <c r="E23" i="8"/>
  <c r="J22" i="8"/>
  <c r="I22" i="8"/>
  <c r="H22" i="8"/>
  <c r="G22" i="8"/>
  <c r="F22" i="8"/>
  <c r="E22" i="8"/>
  <c r="J21" i="8"/>
  <c r="I21" i="8"/>
  <c r="H21" i="8"/>
  <c r="G21" i="8"/>
  <c r="F21" i="8"/>
  <c r="E21" i="8"/>
  <c r="J20" i="8"/>
  <c r="I20" i="8"/>
  <c r="H20" i="8"/>
  <c r="G20" i="8"/>
  <c r="F20" i="8"/>
  <c r="E20" i="8"/>
  <c r="J19" i="8"/>
  <c r="I19" i="8"/>
  <c r="H19" i="8"/>
  <c r="G19" i="8"/>
  <c r="F19" i="8"/>
  <c r="E19" i="8"/>
  <c r="J18" i="8"/>
  <c r="I18" i="8"/>
  <c r="H18" i="8"/>
  <c r="L18" i="8" s="1"/>
  <c r="G18" i="8"/>
  <c r="F18" i="8"/>
  <c r="K18" i="8" s="1"/>
  <c r="E18" i="8"/>
  <c r="J17" i="8"/>
  <c r="I17" i="8"/>
  <c r="H17" i="8"/>
  <c r="G17" i="8"/>
  <c r="F17" i="8"/>
  <c r="E17" i="8"/>
  <c r="J16" i="8"/>
  <c r="I16" i="8"/>
  <c r="H16" i="8"/>
  <c r="G16" i="8"/>
  <c r="F16" i="8"/>
  <c r="E16" i="8"/>
  <c r="J15" i="8"/>
  <c r="I15" i="8"/>
  <c r="H15" i="8"/>
  <c r="G15" i="8"/>
  <c r="F15" i="8"/>
  <c r="E15" i="8"/>
  <c r="J14" i="8"/>
  <c r="I14" i="8"/>
  <c r="H14" i="8"/>
  <c r="G14" i="8"/>
  <c r="F14" i="8"/>
  <c r="E14" i="8"/>
  <c r="J13" i="8"/>
  <c r="I13" i="8"/>
  <c r="H13" i="8"/>
  <c r="G13" i="8"/>
  <c r="F13" i="8"/>
  <c r="E13" i="8"/>
  <c r="J12" i="8"/>
  <c r="I12" i="8"/>
  <c r="H12" i="8"/>
  <c r="G12" i="8"/>
  <c r="F12" i="8"/>
  <c r="E12" i="8"/>
  <c r="J11" i="8"/>
  <c r="I11" i="8"/>
  <c r="H11" i="8"/>
  <c r="G11" i="8"/>
  <c r="F11" i="8"/>
  <c r="E11" i="8"/>
  <c r="L10" i="8"/>
  <c r="J10" i="8"/>
  <c r="I10" i="8"/>
  <c r="K10" i="8" s="1"/>
  <c r="H10" i="8"/>
  <c r="G10" i="8"/>
  <c r="F10" i="8"/>
  <c r="E10" i="8"/>
  <c r="J9" i="8"/>
  <c r="I9" i="8"/>
  <c r="H9" i="8"/>
  <c r="G9" i="8"/>
  <c r="F9" i="8"/>
  <c r="E9" i="8"/>
  <c r="J8" i="8"/>
  <c r="I8" i="8"/>
  <c r="H8" i="8"/>
  <c r="G8" i="8"/>
  <c r="F8" i="8"/>
  <c r="E8" i="8"/>
  <c r="J7" i="8"/>
  <c r="I7" i="8"/>
  <c r="H7" i="8"/>
  <c r="G7" i="8"/>
  <c r="F7" i="8"/>
  <c r="E7" i="8"/>
  <c r="J6" i="8"/>
  <c r="I6" i="8"/>
  <c r="H6" i="8"/>
  <c r="G6" i="8"/>
  <c r="F6" i="8"/>
  <c r="E6" i="8"/>
  <c r="J5" i="8"/>
  <c r="I5" i="8"/>
  <c r="H5" i="8"/>
  <c r="G5" i="8"/>
  <c r="F5" i="8"/>
  <c r="E5" i="8"/>
  <c r="C19" i="7"/>
  <c r="C18" i="7"/>
  <c r="C17" i="7"/>
  <c r="C16" i="7"/>
  <c r="C33" i="1" s="1"/>
  <c r="D11" i="6"/>
  <c r="C11" i="6"/>
  <c r="B11" i="6"/>
  <c r="D10" i="6"/>
  <c r="C10" i="6"/>
  <c r="B10" i="6"/>
  <c r="C33" i="5"/>
  <c r="C32" i="5"/>
  <c r="C31" i="5"/>
  <c r="C30" i="5"/>
  <c r="C29" i="5"/>
  <c r="C28" i="5"/>
  <c r="C27" i="5"/>
  <c r="C23" i="5"/>
  <c r="C22" i="5"/>
  <c r="C21" i="5"/>
  <c r="C20" i="5"/>
  <c r="C24" i="5" s="1"/>
  <c r="M15" i="5"/>
  <c r="I15" i="5"/>
  <c r="H15" i="5"/>
  <c r="M14" i="5"/>
  <c r="I14" i="5"/>
  <c r="H14" i="5"/>
  <c r="M13" i="5"/>
  <c r="I13" i="5"/>
  <c r="H13" i="5"/>
  <c r="D23" i="5" s="1"/>
  <c r="M12" i="5"/>
  <c r="I12" i="5"/>
  <c r="H12" i="5"/>
  <c r="M11" i="5"/>
  <c r="I11" i="5"/>
  <c r="H11" i="5"/>
  <c r="M10" i="5"/>
  <c r="I10" i="5"/>
  <c r="H10" i="5"/>
  <c r="M9" i="5"/>
  <c r="I9" i="5"/>
  <c r="H9" i="5"/>
  <c r="D21" i="5" s="1"/>
  <c r="M8" i="5"/>
  <c r="I8" i="5"/>
  <c r="H8" i="5"/>
  <c r="M7" i="5"/>
  <c r="I7" i="5"/>
  <c r="H7" i="5"/>
  <c r="M6" i="5"/>
  <c r="I6" i="5"/>
  <c r="H6" i="5"/>
  <c r="D22" i="5" s="1"/>
  <c r="M5" i="5"/>
  <c r="I5" i="5"/>
  <c r="H5" i="5"/>
  <c r="C19" i="4"/>
  <c r="Q13" i="1" s="1"/>
  <c r="C18" i="4"/>
  <c r="Q12" i="1" s="1"/>
  <c r="C17" i="4"/>
  <c r="N14" i="3"/>
  <c r="G14" i="3"/>
  <c r="N13" i="3"/>
  <c r="G13" i="3"/>
  <c r="N12" i="3"/>
  <c r="G12" i="3"/>
  <c r="N11" i="3"/>
  <c r="G11" i="3"/>
  <c r="N10" i="3"/>
  <c r="G10" i="3"/>
  <c r="N9" i="3"/>
  <c r="G9" i="3"/>
  <c r="N8" i="3"/>
  <c r="G8" i="3"/>
  <c r="N7" i="3"/>
  <c r="G7" i="3"/>
  <c r="N6" i="3"/>
  <c r="G6" i="3"/>
  <c r="N5" i="3"/>
  <c r="C16" i="1" s="1"/>
  <c r="G5" i="3"/>
  <c r="C51" i="2"/>
  <c r="C50" i="2"/>
  <c r="C49" i="2"/>
  <c r="C48" i="2"/>
  <c r="C47" i="2"/>
  <c r="G41" i="2"/>
  <c r="F41" i="2"/>
  <c r="E41" i="2"/>
  <c r="D41" i="2"/>
  <c r="H41" i="2" s="1"/>
  <c r="I41" i="2" s="1"/>
  <c r="G40" i="2"/>
  <c r="F40" i="2"/>
  <c r="E40" i="2"/>
  <c r="D40" i="2"/>
  <c r="H40" i="2" s="1"/>
  <c r="G39" i="2"/>
  <c r="F39" i="2"/>
  <c r="E39" i="2"/>
  <c r="D39" i="2"/>
  <c r="H39" i="2" s="1"/>
  <c r="I39" i="2" s="1"/>
  <c r="G38" i="2"/>
  <c r="F38" i="2"/>
  <c r="E38" i="2"/>
  <c r="D38" i="2"/>
  <c r="H38" i="2" s="1"/>
  <c r="I38" i="2" s="1"/>
  <c r="G37" i="2"/>
  <c r="G42" i="2" s="1"/>
  <c r="F37" i="2"/>
  <c r="F42" i="2" s="1"/>
  <c r="E37" i="2"/>
  <c r="E42" i="2" s="1"/>
  <c r="D37" i="2"/>
  <c r="G36" i="2"/>
  <c r="F36" i="2"/>
  <c r="E36" i="2"/>
  <c r="D36" i="2"/>
  <c r="H36" i="2" s="1"/>
  <c r="I36" i="2" s="1"/>
  <c r="G35" i="2"/>
  <c r="F35" i="2"/>
  <c r="E35" i="2"/>
  <c r="D35" i="2"/>
  <c r="H35" i="2" s="1"/>
  <c r="G34" i="2"/>
  <c r="F34" i="2"/>
  <c r="E34" i="2"/>
  <c r="D34" i="2"/>
  <c r="H34" i="2" s="1"/>
  <c r="I34" i="2" s="1"/>
  <c r="G33" i="2"/>
  <c r="F33" i="2"/>
  <c r="E33" i="2"/>
  <c r="D33" i="2"/>
  <c r="H33" i="2" s="1"/>
  <c r="G32" i="2"/>
  <c r="F32" i="2"/>
  <c r="E32" i="2"/>
  <c r="D32" i="2"/>
  <c r="H32" i="2" s="1"/>
  <c r="G31" i="2"/>
  <c r="F31" i="2"/>
  <c r="E31" i="2"/>
  <c r="D31" i="2"/>
  <c r="H31" i="2" s="1"/>
  <c r="I31" i="2" s="1"/>
  <c r="G30" i="2"/>
  <c r="F30" i="2"/>
  <c r="E30" i="2"/>
  <c r="D30" i="2"/>
  <c r="H30" i="2" s="1"/>
  <c r="G29" i="2"/>
  <c r="F29" i="2"/>
  <c r="E29" i="2"/>
  <c r="D29" i="2"/>
  <c r="H29" i="2" s="1"/>
  <c r="G28" i="2"/>
  <c r="F28" i="2"/>
  <c r="E28" i="2"/>
  <c r="D28" i="2"/>
  <c r="H28" i="2" s="1"/>
  <c r="G27" i="2"/>
  <c r="F27" i="2"/>
  <c r="E27" i="2"/>
  <c r="D27" i="2"/>
  <c r="H27" i="2" s="1"/>
  <c r="G26" i="2"/>
  <c r="F26" i="2"/>
  <c r="E26" i="2"/>
  <c r="D26" i="2"/>
  <c r="H26" i="2" s="1"/>
  <c r="G25" i="2"/>
  <c r="F25" i="2"/>
  <c r="E25" i="2"/>
  <c r="D25" i="2"/>
  <c r="H25" i="2" s="1"/>
  <c r="I25" i="2" s="1"/>
  <c r="G24" i="2"/>
  <c r="F24" i="2"/>
  <c r="E24" i="2"/>
  <c r="D24" i="2"/>
  <c r="H24" i="2" s="1"/>
  <c r="G23" i="2"/>
  <c r="F23" i="2"/>
  <c r="E23" i="2"/>
  <c r="D23" i="2"/>
  <c r="H23" i="2" s="1"/>
  <c r="I23" i="2" s="1"/>
  <c r="G22" i="2"/>
  <c r="F22" i="2"/>
  <c r="E22" i="2"/>
  <c r="D22" i="2"/>
  <c r="H22" i="2" s="1"/>
  <c r="I22" i="2" s="1"/>
  <c r="G21" i="2"/>
  <c r="F21" i="2"/>
  <c r="E21" i="2"/>
  <c r="D21" i="2"/>
  <c r="H21" i="2" s="1"/>
  <c r="I21" i="2" s="1"/>
  <c r="G20" i="2"/>
  <c r="F20" i="2"/>
  <c r="E20" i="2"/>
  <c r="D20" i="2"/>
  <c r="H20" i="2" s="1"/>
  <c r="I20" i="2" s="1"/>
  <c r="G19" i="2"/>
  <c r="F19" i="2"/>
  <c r="E19" i="2"/>
  <c r="D19" i="2"/>
  <c r="H19" i="2" s="1"/>
  <c r="I19" i="2" s="1"/>
  <c r="G18" i="2"/>
  <c r="F18" i="2"/>
  <c r="E18" i="2"/>
  <c r="D18" i="2"/>
  <c r="H18" i="2" s="1"/>
  <c r="I18" i="2" s="1"/>
  <c r="G17" i="2"/>
  <c r="F17" i="2"/>
  <c r="E17" i="2"/>
  <c r="D17" i="2"/>
  <c r="H17" i="2" s="1"/>
  <c r="H16" i="2"/>
  <c r="I16" i="2" s="1"/>
  <c r="G16" i="2"/>
  <c r="F16" i="2"/>
  <c r="E16" i="2"/>
  <c r="D16" i="2"/>
  <c r="G15" i="2"/>
  <c r="F15" i="2"/>
  <c r="E15" i="2"/>
  <c r="D15" i="2"/>
  <c r="H15" i="2" s="1"/>
  <c r="I15" i="2" s="1"/>
  <c r="G14" i="2"/>
  <c r="F14" i="2"/>
  <c r="E14" i="2"/>
  <c r="D14" i="2"/>
  <c r="H14" i="2" s="1"/>
  <c r="I14" i="2" s="1"/>
  <c r="G13" i="2"/>
  <c r="F13" i="2"/>
  <c r="E13" i="2"/>
  <c r="D13" i="2"/>
  <c r="H13" i="2" s="1"/>
  <c r="I13" i="2" s="1"/>
  <c r="G12" i="2"/>
  <c r="F12" i="2"/>
  <c r="E12" i="2"/>
  <c r="D12" i="2"/>
  <c r="H12" i="2" s="1"/>
  <c r="I12" i="2" s="1"/>
  <c r="G11" i="2"/>
  <c r="F11" i="2"/>
  <c r="E11" i="2"/>
  <c r="D11" i="2"/>
  <c r="H11" i="2" s="1"/>
  <c r="G10" i="2"/>
  <c r="F10" i="2"/>
  <c r="E10" i="2"/>
  <c r="D10" i="2"/>
  <c r="H10" i="2" s="1"/>
  <c r="I10" i="2" s="1"/>
  <c r="G9" i="2"/>
  <c r="F9" i="2"/>
  <c r="E9" i="2"/>
  <c r="D9" i="2"/>
  <c r="H9" i="2" s="1"/>
  <c r="I9" i="2" s="1"/>
  <c r="G8" i="2"/>
  <c r="F8" i="2"/>
  <c r="E8" i="2"/>
  <c r="D8" i="2"/>
  <c r="H8" i="2" s="1"/>
  <c r="I8" i="2" s="1"/>
  <c r="G7" i="2"/>
  <c r="F7" i="2"/>
  <c r="E7" i="2"/>
  <c r="D7" i="2"/>
  <c r="H7" i="2" s="1"/>
  <c r="I7" i="2" s="1"/>
  <c r="G6" i="2"/>
  <c r="H6" i="2" s="1"/>
  <c r="I6" i="2" s="1"/>
  <c r="F6" i="2"/>
  <c r="E6" i="2"/>
  <c r="D6" i="2"/>
  <c r="G5" i="2"/>
  <c r="F5" i="2"/>
  <c r="E5" i="2"/>
  <c r="D5" i="2"/>
  <c r="H5" i="2" s="1"/>
  <c r="C60" i="1"/>
  <c r="C59" i="1"/>
  <c r="C58" i="1"/>
  <c r="C57" i="1"/>
  <c r="C56" i="1"/>
  <c r="C55" i="1"/>
  <c r="C39" i="1"/>
  <c r="C36" i="1"/>
  <c r="C32" i="1"/>
  <c r="C31" i="1"/>
  <c r="P29" i="1"/>
  <c r="P28" i="1"/>
  <c r="P27" i="1"/>
  <c r="P26" i="1"/>
  <c r="C26" i="1"/>
  <c r="P25" i="1"/>
  <c r="C25" i="1"/>
  <c r="P24" i="1"/>
  <c r="C24" i="1"/>
  <c r="P23" i="1"/>
  <c r="P22" i="1"/>
  <c r="C22" i="1"/>
  <c r="C21" i="1"/>
  <c r="C20" i="1"/>
  <c r="Q19" i="1"/>
  <c r="Q18" i="1"/>
  <c r="C18" i="1"/>
  <c r="Q17" i="1"/>
  <c r="C17" i="1"/>
  <c r="Q16" i="1"/>
  <c r="C14" i="1"/>
  <c r="C13" i="1"/>
  <c r="C12" i="1"/>
  <c r="C15" i="1" s="1"/>
  <c r="C29" i="1" l="1"/>
  <c r="L32" i="8"/>
  <c r="K32" i="8"/>
  <c r="L31" i="8"/>
  <c r="K31" i="8"/>
  <c r="K30" i="8"/>
  <c r="L30" i="8"/>
  <c r="K29" i="8"/>
  <c r="L29" i="8"/>
  <c r="K28" i="8"/>
  <c r="L28" i="8"/>
  <c r="L27" i="8"/>
  <c r="K27" i="8"/>
  <c r="K26" i="8"/>
  <c r="L26" i="8"/>
  <c r="K24" i="8"/>
  <c r="L24" i="8"/>
  <c r="K23" i="8"/>
  <c r="L23" i="8"/>
  <c r="K22" i="8"/>
  <c r="L22" i="8"/>
  <c r="K21" i="8"/>
  <c r="L21" i="8"/>
  <c r="K20" i="8"/>
  <c r="L20" i="8"/>
  <c r="K19" i="8"/>
  <c r="L19" i="8"/>
  <c r="L17" i="8"/>
  <c r="K17" i="8"/>
  <c r="L16" i="8"/>
  <c r="K16" i="8"/>
  <c r="L15" i="8"/>
  <c r="K15" i="8"/>
  <c r="L14" i="8"/>
  <c r="K14" i="8"/>
  <c r="L13" i="8"/>
  <c r="K13" i="8"/>
  <c r="L12" i="8"/>
  <c r="K12" i="8"/>
  <c r="L11" i="8"/>
  <c r="K11" i="8"/>
  <c r="L9" i="8"/>
  <c r="K9" i="8"/>
  <c r="L8" i="8"/>
  <c r="K8" i="8"/>
  <c r="K7" i="8"/>
  <c r="L7" i="8"/>
  <c r="L6" i="8"/>
  <c r="K6" i="8"/>
  <c r="L5" i="8"/>
  <c r="K5" i="8"/>
  <c r="C28" i="1"/>
  <c r="D20" i="5"/>
  <c r="D24" i="5" s="1"/>
  <c r="C27" i="1"/>
  <c r="C20" i="4"/>
  <c r="Q11" i="1"/>
  <c r="I40" i="2"/>
  <c r="Q29" i="1"/>
  <c r="H37" i="2"/>
  <c r="I37" i="2" s="1"/>
  <c r="D42" i="2"/>
  <c r="I35" i="2"/>
  <c r="D51" i="2" s="1"/>
  <c r="E51" i="2"/>
  <c r="I33" i="2"/>
  <c r="Q25" i="1"/>
  <c r="I32" i="2"/>
  <c r="Q27" i="1"/>
  <c r="I30" i="2"/>
  <c r="Q26" i="1"/>
  <c r="I29" i="2"/>
  <c r="Q22" i="1"/>
  <c r="I28" i="2"/>
  <c r="Q23" i="1"/>
  <c r="I27" i="2"/>
  <c r="Q24" i="1"/>
  <c r="Q28" i="1"/>
  <c r="I26" i="2"/>
  <c r="I24" i="2"/>
  <c r="E50" i="2"/>
  <c r="I17" i="2"/>
  <c r="D49" i="2" s="1"/>
  <c r="E49" i="2"/>
  <c r="I11" i="2"/>
  <c r="D48" i="2" s="1"/>
  <c r="E48" i="2"/>
  <c r="I5" i="2"/>
  <c r="H42" i="2"/>
  <c r="E47" i="2"/>
  <c r="C38" i="1" s="1"/>
  <c r="D17" i="4" l="1"/>
  <c r="D18" i="4"/>
  <c r="D19" i="4"/>
  <c r="C37" i="1"/>
  <c r="I42" i="2"/>
  <c r="D47" i="2"/>
  <c r="D50" i="2"/>
  <c r="D2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000-000001000000}">
      <text>
        <r>
          <rPr>
            <sz val="10"/>
            <rFont val="Arial"/>
            <family val="2"/>
          </rPr>
          <t>Fecha de corte del informe (editable). Se usa para calcular los años transcurridos desde el registro de cada tesis.</t>
        </r>
      </text>
    </comment>
  </commentList>
</comments>
</file>

<file path=xl/sharedStrings.xml><?xml version="1.0" encoding="utf-8"?>
<sst xmlns="http://schemas.openxmlformats.org/spreadsheetml/2006/main" count="900" uniqueCount="469">
  <si>
    <t>CIPHER-LAC · Informe de avances 2026</t>
  </si>
  <si>
    <t>Collaborative Initiative for Public Health and Epidemiological Research in Latin America and the Caribbean · Universidad Científica del Sur, Lima, Perú</t>
  </si>
  <si>
    <t>Dirigido a:</t>
  </si>
  <si>
    <t>Dirección de Investigación – Universidad Científica del Sur</t>
  </si>
  <si>
    <t>Fecha de corte:</t>
  </si>
  <si>
    <t>Presentado por:</t>
  </si>
  <si>
    <t>Liderazgo del grupo CIPHER-LAC</t>
  </si>
  <si>
    <t>Fuente:</t>
  </si>
  <si>
    <t>Archivo «PROYECTOS DE INVESTIGACIÓN Y TESIS» del grupo (6 hojas)</t>
  </si>
  <si>
    <t>Indicadores clave</t>
  </si>
  <si>
    <t>Datos para gráficos</t>
  </si>
  <si>
    <t>Indicador</t>
  </si>
  <si>
    <t>Valor</t>
  </si>
  <si>
    <t>Hoja de detalle</t>
  </si>
  <si>
    <t>Estado</t>
  </si>
  <si>
    <t>N.º</t>
  </si>
  <si>
    <t>PROYECTOS DE INVESTIGACIÓN</t>
  </si>
  <si>
    <t>Publicado</t>
  </si>
  <si>
    <t>Proyectos y propuestas registrados en 2026</t>
  </si>
  <si>
    <t>Proyectos 2026</t>
  </si>
  <si>
    <t>Aceptado</t>
  </si>
  <si>
    <t xml:space="preserve">   En ejecución</t>
  </si>
  <si>
    <t>Sometido</t>
  </si>
  <si>
    <t xml:space="preserve">   Finalizados (con manuscrito publicado, aceptado o sometido)</t>
  </si>
  <si>
    <t xml:space="preserve">   En desarrollo, formulación o por iniciar</t>
  </si>
  <si>
    <t>Programa</t>
  </si>
  <si>
    <t>Tesis</t>
  </si>
  <si>
    <t xml:space="preserve">   Con protocolo registrado</t>
  </si>
  <si>
    <t>Maestría Epidemiología Clínica y Bioestadística</t>
  </si>
  <si>
    <t xml:space="preserve">   Con financiamiento externo o en concurso</t>
  </si>
  <si>
    <t>Maestría Salud Pública</t>
  </si>
  <si>
    <t xml:space="preserve">   Con colaboración de otros grupos o internacional</t>
  </si>
  <si>
    <t>Medicina Veterinaria y Zootecnia</t>
  </si>
  <si>
    <t>PRODUCCIÓN CIENTÍFICA</t>
  </si>
  <si>
    <t>Medicina Humana</t>
  </si>
  <si>
    <t>Artículos publicados en 2026</t>
  </si>
  <si>
    <t>Producción científica</t>
  </si>
  <si>
    <t>Manuscritos aceptados</t>
  </si>
  <si>
    <t>Línea UCSUR</t>
  </si>
  <si>
    <t>Registros</t>
  </si>
  <si>
    <t>Manuscritos sometidos (en revisión)</t>
  </si>
  <si>
    <t>FORMACIÓN DE INVESTIGADORES (TESIS)</t>
  </si>
  <si>
    <t>Tesis en curso / asesoradas</t>
  </si>
  <si>
    <t>Tesis 2026</t>
  </si>
  <si>
    <t xml:space="preserve">   De posgrado (maestría)</t>
  </si>
  <si>
    <t xml:space="preserve">   De pregrado</t>
  </si>
  <si>
    <t xml:space="preserve">   Registradas</t>
  </si>
  <si>
    <t xml:space="preserve">   Pendientes de registro</t>
  </si>
  <si>
    <t xml:space="preserve">   Con 2 años o más desde su registro</t>
  </si>
  <si>
    <t>FONDOS CONCURSABLES Y DIFUSIÓN</t>
  </si>
  <si>
    <t>Postulaciones a fondos concursables</t>
  </si>
  <si>
    <t>Postulaciones</t>
  </si>
  <si>
    <t>Proyectos en concurso interno (Semilla Cabieses)</t>
  </si>
  <si>
    <t>Webinars de difusión CTI registrados</t>
  </si>
  <si>
    <t>Difusión CTI</t>
  </si>
  <si>
    <t>EQUIPO Y ALINEAMIENTO INSTITUCIONAL</t>
  </si>
  <si>
    <t>Integrantes con participación registrada</t>
  </si>
  <si>
    <t>Equipo</t>
  </si>
  <si>
    <t xml:space="preserve">   De ellos, tesistas</t>
  </si>
  <si>
    <t>Líneas de investigación UCSUR con actividad del grupo</t>
  </si>
  <si>
    <t>Líneas UCSUR</t>
  </si>
  <si>
    <t>Áreas estratégicas UCSUR con actividad del grupo</t>
  </si>
  <si>
    <t>Acciones de seguimiento identificadas (prioridad alta)</t>
  </si>
  <si>
    <t>Pendientes y acciones</t>
  </si>
  <si>
    <t>Logros destacados del periodo</t>
  </si>
  <si>
    <t>•  Cuatro artículos publicados en 2026 con filiación CIPHER-LAC en revistas internacionales: Scientific Reports, Autism in Adulthood, Therapeutic Innovation &amp; Regulatory Science y Medical Sciences.</t>
  </si>
  <si>
    <t>•  Cartera de manuscritos en proceso: uno aceptado (Psychodynamic Psychiatry) y tres sometidos (Journal of Technology in Behavioral Science; Frontiers / PLOS ONE).</t>
  </si>
  <si>
    <t>•  Diez proyectos en cuatro líneas UCSUR del área Salud y bienestar, articulados con los grupos REAL LABIC, SANIGEN y SAByQ, y con colaboración internacional (España).</t>
  </si>
  <si>
    <t>•  Proyecto piloto «Una Salud» sobre influenza zoonótica con TDR-OMS como entidad financiadora registrada, y dos proyectos oncológicos con protocolo registrado en el concurso Semilla Cabieses.</t>
  </si>
  <si>
    <t>•  Formación de investigadores: once tesis (ocho de maestría y tres de pregrado); dos tesistas de la Maestría en Salud Pública ya publican como autores del grupo.</t>
  </si>
  <si>
    <t>•  Una postulación a la convocatoria de Proyectos de Investigación Básica 2026-01 (resistoma y viruloma bacteriano en los Andes Centrales).</t>
  </si>
  <si>
    <t>Principales retos</t>
  </si>
  <si>
    <t>•  Acelerar la culminación de tesis con más de dos años desde su registro y registrar las dos tesis pendientes.</t>
  </si>
  <si>
    <t>•  Activar la agenda de difusión: aún no hay webinars ni acciones de incidencia en políticas registradas.</t>
  </si>
  <si>
    <t>Correspondencia con el archivo original</t>
  </si>
  <si>
    <t>Hoja original</t>
  </si>
  <si>
    <t>Hoja del informe</t>
  </si>
  <si>
    <t>LINEAS DE INVESTIGACION</t>
  </si>
  <si>
    <t>PROPUESTAS INVESTIGACION 2026</t>
  </si>
  <si>
    <t>ARTICULOS PUBLICADOS</t>
  </si>
  <si>
    <t>TESIS 2026</t>
  </si>
  <si>
    <t>POSTULACIONES</t>
  </si>
  <si>
    <t>WEBINARS DE DIFUSION CTI</t>
  </si>
  <si>
    <t>Alineamiento con las líneas de investigación institucionales de la UCSUR</t>
  </si>
  <si>
    <t>Fuente: hoja «LINEAS DE INVESTIGACION» (37 líneas en 5 áreas estratégicas). Los conteos se calculan automáticamente a partir de la línea asignada en cada hoja del informe.</t>
  </si>
  <si>
    <t>Área estratégica</t>
  </si>
  <si>
    <t>Línea de investigación</t>
  </si>
  <si>
    <t>Artículos y manuscritos</t>
  </si>
  <si>
    <t>Total de registros</t>
  </si>
  <si>
    <t>¿Línea activa en CIPHER-LAC?</t>
  </si>
  <si>
    <t>Ambiente y biodiversidad</t>
  </si>
  <si>
    <t>Cambio climático y agua</t>
  </si>
  <si>
    <t>Conservación y gestión de ecosistemas antárticos</t>
  </si>
  <si>
    <t>Ecosistemas marinos, costeros, dulceacuícolas</t>
  </si>
  <si>
    <t>Gestión, sostenibilidad y calidad ambiental</t>
  </si>
  <si>
    <t>Recursos naturales y energías renovables</t>
  </si>
  <si>
    <t>Regulación ambiental y conservación de la biodiversidad</t>
  </si>
  <si>
    <t>Desarrollo sostenible</t>
  </si>
  <si>
    <t>Cadenas productivas sostenibles y economía azul</t>
  </si>
  <si>
    <t>Conectividad, transporte y seguridad</t>
  </si>
  <si>
    <t>Innovación agraria, desarrollo rural y cultivos estratégicos</t>
  </si>
  <si>
    <t>Innovación en la construcción y urbanismo sostenible</t>
  </si>
  <si>
    <t>Producción animal sostenible y seguridad alimentaria</t>
  </si>
  <si>
    <t>Empresa y tecnología</t>
  </si>
  <si>
    <t>Comercio exterior y negocios internacionales</t>
  </si>
  <si>
    <t>Desarrollo económico y políticas públicas</t>
  </si>
  <si>
    <t>Dinámica de consumo y estrategias de mercado</t>
  </si>
  <si>
    <t>Estrategias de inversión y mercados de capitales</t>
  </si>
  <si>
    <t>Gestión empresarial y emprendedurismo</t>
  </si>
  <si>
    <t>Innovación tecnológica y desarrollo industrial</t>
  </si>
  <si>
    <t>Inteligencia artificial aplicada y ciberseguridad</t>
  </si>
  <si>
    <t>Libre mercado y competitividad</t>
  </si>
  <si>
    <t>Salud y bienestar</t>
  </si>
  <si>
    <t>Biotecnología en salud y mejoramiento animal y vegetal</t>
  </si>
  <si>
    <t>Cuidado de la salud y ciclo de vida</t>
  </si>
  <si>
    <t>Estomatología y salud bucodental</t>
  </si>
  <si>
    <t>Inmunidad, cáncer y enfermedades crónicas</t>
  </si>
  <si>
    <t>Microbiología, infecciosas y one health</t>
  </si>
  <si>
    <t>Neurociencias y salud mental</t>
  </si>
  <si>
    <t>Nutrición, bienestar y actividad física</t>
  </si>
  <si>
    <t>Principios bioactivos y productos farmacéuticos</t>
  </si>
  <si>
    <t>Salud basada en evidencias</t>
  </si>
  <si>
    <t>Salud pública, salud ocupacional y gestión en salud</t>
  </si>
  <si>
    <t>Salud y bienestar animal</t>
  </si>
  <si>
    <t>Sociedad y ciudadanía</t>
  </si>
  <si>
    <t>Comunicación e interculturalidad</t>
  </si>
  <si>
    <t>Derecho y gobernanza</t>
  </si>
  <si>
    <t>Educación y desarrollo humano</t>
  </si>
  <si>
    <t>Ética, sociedad y democracia</t>
  </si>
  <si>
    <t>Igualdad de oportunidades e inclusión social</t>
  </si>
  <si>
    <t>Innovación educativa y simulación en salud</t>
  </si>
  <si>
    <t>Turismo, artes e industrias culturales</t>
  </si>
  <si>
    <t>Total</t>
  </si>
  <si>
    <t>Resumen por área estratégica</t>
  </si>
  <si>
    <t>Líneas del área</t>
  </si>
  <si>
    <t>Líneas activas</t>
  </si>
  <si>
    <t>Proyectos y propuestas de investigación 2026</t>
  </si>
  <si>
    <t>Proyecto / propuesta</t>
  </si>
  <si>
    <t>Investigador(a) líder</t>
  </si>
  <si>
    <t>Colaborador(a) externo(a)</t>
  </si>
  <si>
    <t>Equipo / grupos participantes</t>
  </si>
  <si>
    <t>Línea de investigación UCSUR</t>
  </si>
  <si>
    <t>Área estratégica UCSUR</t>
  </si>
  <si>
    <t>Entidad financiadora</t>
  </si>
  <si>
    <t>Tipo de financiamiento</t>
  </si>
  <si>
    <t>Costo monetario estimado*</t>
  </si>
  <si>
    <t>Costo no monetario estimado</t>
  </si>
  <si>
    <t>Institución donde se realiza</t>
  </si>
  <si>
    <t>N.º de registro de protocolo</t>
  </si>
  <si>
    <t>¿Protocolo registrado?</t>
  </si>
  <si>
    <t>Inicio</t>
  </si>
  <si>
    <t>Fin</t>
  </si>
  <si>
    <t>Estado de ejecución</t>
  </si>
  <si>
    <t>Difusión: artículo (revista y estado)</t>
  </si>
  <si>
    <t>Estado del manuscrito</t>
  </si>
  <si>
    <t>Webinar</t>
  </si>
  <si>
    <t>Incidencia en políticas</t>
  </si>
  <si>
    <t>Admisión a UCI y desenlaces de encefalitis autoinmune en América Latina: REAL LABIC Prospectivo</t>
  </si>
  <si>
    <t>Miguel Ángel Vences</t>
  </si>
  <si>
    <t>—</t>
  </si>
  <si>
    <t>REAL LABIC Group; CIPHER-LAC</t>
  </si>
  <si>
    <t>Ninguna</t>
  </si>
  <si>
    <t>Sin financiamiento</t>
  </si>
  <si>
    <t>Por registrar</t>
  </si>
  <si>
    <t>UCSUR</t>
  </si>
  <si>
    <t>En ejecución</t>
  </si>
  <si>
    <t>Dinámica de la adquisición intrahospitalaria de Enterobacterales de prioridad crítica para la OMS en perros hospitalizados en clínicas veterinarias de Lima, Perú</t>
  </si>
  <si>
    <t>Jhonathan Bazalar Gonzales</t>
  </si>
  <si>
    <t>SANIGEN; CIPHER-LAC</t>
  </si>
  <si>
    <t>En formulación</t>
  </si>
  <si>
    <t>Búsqueda activa y fortalecimiento de capacidades frente a influenza zoonótica en poblaciones con exposición ocupacional en Lima, Perú: un estudio piloto con enfoque Una Salud</t>
  </si>
  <si>
    <t>Natalia Vargas Herrera</t>
  </si>
  <si>
    <t>CIPHER-LAC</t>
  </si>
  <si>
    <t>TDR-OMS</t>
  </si>
  <si>
    <t>Externo internacional</t>
  </si>
  <si>
    <t>Por iniciar</t>
  </si>
  <si>
    <t>Effectiveness of structured psychotherapies for alcohol use disorder in adults with personality disorders: a systematic review</t>
  </si>
  <si>
    <t>Aurora Döll (España)</t>
  </si>
  <si>
    <t>Glauco Valdivieso Jiménez</t>
  </si>
  <si>
    <t>En desarrollo</t>
  </si>
  <si>
    <t>Neurobiological effects of psychodynamic therapies in Borderline Personality Disorder: A systematic review</t>
  </si>
  <si>
    <t>Finalizado – manuscrito aceptado</t>
  </si>
  <si>
    <t>Psychodynamic Psychiatry</t>
  </si>
  <si>
    <t>Effects of cognitive behavioral therapy in adults with autism spectrum disorder: A systematic review and meta-analysis of randomized controlled trials</t>
  </si>
  <si>
    <t>Jesús Pérez Castilla</t>
  </si>
  <si>
    <t>Finalizado – publicado</t>
  </si>
  <si>
    <t>Autism in Adulthood</t>
  </si>
  <si>
    <t>Efectividad de intervenciones virtuales para el Trastorno Límite de Personalidad antes y durante pandemia de COVID-19: una revisión sistemática</t>
  </si>
  <si>
    <t>Finalizado – manuscrito sometido</t>
  </si>
  <si>
    <t>Journal of Technology in Behavioral Science</t>
  </si>
  <si>
    <t>Caracterización molecular, fenotípica y clonogénica de un inhibidor dual EGFR/PI3K identificado mediante virtual screening y de la terapia combinada sinérgica como estrategia de vulnerabilidad sintética in vitro en cáncer de mama triple negativo</t>
  </si>
  <si>
    <t>Richard Zapata Dongo</t>
  </si>
  <si>
    <t>CIPHER-LAC; SAByQ</t>
  </si>
  <si>
    <t>En concurso «Semilla Cabieses»</t>
  </si>
  <si>
    <t>Concursable – en evaluación</t>
  </si>
  <si>
    <t>N.º 034-2026-PRO99</t>
  </si>
  <si>
    <t>Frontiers / PLOS ONE</t>
  </si>
  <si>
    <t>Identificación biocomputacional de un sitio alostérico en la oncoproteína ALK con potencial inhibitorio empleando el reposicionamiento farmacológico como estrategia para eludir la resistencia en cáncer de pulmón de células no pequeñas (CPCNP)</t>
  </si>
  <si>
    <t>Pedro Ruiz Campos; Richard Zapata Dongo</t>
  </si>
  <si>
    <t>N.º 033-2026-PRO99</t>
  </si>
  <si>
    <t>Precision Nutraceuticals and Biomarkers of Healthy Aging: A Scoping Review of Human Studies on Nutrigenomic-Based Interventions</t>
  </si>
  <si>
    <t>Moisés Apolaya Segura</t>
  </si>
  <si>
    <t>PI-50-2026-1941</t>
  </si>
  <si>
    <t>Medical Sciences</t>
  </si>
  <si>
    <t>* Costo monetario: se transcribe el valor del registro original (40 y 20); la unidad (soles, miles de soles o USD) no está especificada y debe confirmarse con los investigadores líderes.</t>
  </si>
  <si>
    <t>Estado de ejecución: inferido por la coordinación a partir de las fechas y del estado de difusión registrados (ej. artículo publicado = finalizado). Hoy: fecha de corte en hoja Resumen.</t>
  </si>
  <si>
    <t>Producción científica 2026: artículos publicados y manuscritos en proceso</t>
  </si>
  <si>
    <t>Artículo / manuscrito</t>
  </si>
  <si>
    <t>Revista</t>
  </si>
  <si>
    <t>Fecha de publicación</t>
  </si>
  <si>
    <t>Datos bibliográficos</t>
  </si>
  <si>
    <t>Autor(es) con filiación CIPHER-LAC</t>
  </si>
  <si>
    <t>DOI / enlace</t>
  </si>
  <si>
    <t>Vínculo con proyecto o tesis del grupo</t>
  </si>
  <si>
    <t>Hoja de origen</t>
  </si>
  <si>
    <t>Characteristics of Authorized Clinical Trials in Peru, 2017–2025: A National Registry-Based Study</t>
  </si>
  <si>
    <t>Therapeutic Innovation &amp; Regulatory Science</t>
  </si>
  <si>
    <t>Publicado 31 ago 2026</t>
  </si>
  <si>
    <t>Fritzi Pilar Villalba-Ugarte; Luis Ttito-Paricahua (filiación 3)</t>
  </si>
  <si>
    <t>https://link.springer.com/article/10.1007/s43441-026-01040-9</t>
  </si>
  <si>
    <t>Autores son tesistas de la Maestría en Salud Pública (Tesis N.º 5 y 6). No registrado como proyecto.</t>
  </si>
  <si>
    <t>2026;14(5):508</t>
  </si>
  <si>
    <t>Moisés Apolaya-Segura (filiación 3)</t>
  </si>
  <si>
    <t>https://www.mdpi.com/2076-3271/14/5/508</t>
  </si>
  <si>
    <t>Producto del Proyecto N.º 10 (PI-50-2026-1941)</t>
  </si>
  <si>
    <t>ARTICULOS PUBLICADOS / PROPUESTAS</t>
  </si>
  <si>
    <t>Effects of Cognitive Behavioral Therapy in Autistic Adults: A Systematic Review and Meta-Analysis of Randomized Controlled Trials</t>
  </si>
  <si>
    <t>Publicación anticipada en línea</t>
  </si>
  <si>
    <t>Glauco Valdivieso-Jiménez</t>
  </si>
  <si>
    <t>https://doi.org/10.1177/25739581261450541</t>
  </si>
  <si>
    <t>Producto del Proyecto N.º 6</t>
  </si>
  <si>
    <t>A framework for the development and validation of an aptamer-based assay for pathogen detection using SARS-CoV-2 as a model</t>
  </si>
  <si>
    <t>Scientific Reports</t>
  </si>
  <si>
    <t>2026;16(1):24419</t>
  </si>
  <si>
    <t>Steev Loyola (filiación 3)</t>
  </si>
  <si>
    <t>https://www.nature.com/articles/s41598-026-55568-9</t>
  </si>
  <si>
    <t>No registrado como proyecto del grupo.</t>
  </si>
  <si>
    <t>Producto del Proyecto N.º 5</t>
  </si>
  <si>
    <t>PROPUESTAS</t>
  </si>
  <si>
    <t>Producto del Proyecto N.º 7</t>
  </si>
  <si>
    <t>Inhibidor dual EGFR/PI3K y terapia combinada sinérgica en cáncer de mama triple negativo (manuscrito)</t>
  </si>
  <si>
    <t>Producto del Proyecto N.º 8 (034-2026-PRO99)</t>
  </si>
  <si>
    <t>Sitio alostérico en la oncoproteína ALK y reposicionamiento farmacológico en CPCNP (manuscrito)</t>
  </si>
  <si>
    <t>Producto del Proyecto N.º 9 (033-2026-PRO99)</t>
  </si>
  <si>
    <t>Resumen de la producción</t>
  </si>
  <si>
    <t>% del total</t>
  </si>
  <si>
    <t>Tesis en curso y asesoradas por integrantes del grupo (2026)</t>
  </si>
  <si>
    <t>Título de la tesis</t>
  </si>
  <si>
    <t>Tesista</t>
  </si>
  <si>
    <t>Asesor(a)</t>
  </si>
  <si>
    <t>Programa o carrera</t>
  </si>
  <si>
    <t>Nivel</t>
  </si>
  <si>
    <t>Fecha de registro</t>
  </si>
  <si>
    <t>Estado del registro</t>
  </si>
  <si>
    <t>Años desde el registro</t>
  </si>
  <si>
    <t>Fecha de inicio</t>
  </si>
  <si>
    <t>Fecha de fin</t>
  </si>
  <si>
    <t>Artículo derivado / observaciones</t>
  </si>
  <si>
    <t>Asociación entre el índice triglicéridos/HDL y la neuropatía periférica dolorosa en pacientes con diabetes mellitus tipo 2: estudio de casos y controles</t>
  </si>
  <si>
    <t>Rossana Angélica Charapaqui Jacinto</t>
  </si>
  <si>
    <t>Maestría en Epidemiología Clínica y Bioestadística</t>
  </si>
  <si>
    <t>Posgrado</t>
  </si>
  <si>
    <t>Colonización intestinal intrahospitalaria de Escherichia coli productora de betalactamasas de espectro extendido en perros hospitalizados en clínicas veterinarias de Lima, Perú</t>
  </si>
  <si>
    <t>Valeria Nicole Morales García</t>
  </si>
  <si>
    <t>Pregrado</t>
  </si>
  <si>
    <t>Vinculada al Proyecto N.º 2 (SANIGEN)</t>
  </si>
  <si>
    <t>Adquisición nosocomial de Klebsiella spp. productora de carbapenemasas en pacientes caninos internados en servicios de hospitalización veterinaria en Lima, Perú</t>
  </si>
  <si>
    <t>Brenda Lizeth Eguizabal Vílchez</t>
  </si>
  <si>
    <t>Todavía no ha sido registrado</t>
  </si>
  <si>
    <t>Vinculada al Proyecto N.º 2 (SANIGEN). Registro pendiente.</t>
  </si>
  <si>
    <t>Factores asociados al abandono de tratamiento en pacientes con Trastorno Límite de Personalidad en un hospital general durante 2016-2023</t>
  </si>
  <si>
    <t>Yamilée Hurtado Roca</t>
  </si>
  <si>
    <t>Tesista con 1 artículo publicado, 1 aceptado y 1 sometido en la misma línea (TLP / salud mental).</t>
  </si>
  <si>
    <t>Desigualdades y factores asociados al acceso al continuo de atención materna en mujeres peruanas de 15 a 49 años según la Encuesta Demográfica y de Salud Familiar 2024</t>
  </si>
  <si>
    <t>Fritzi Pilar Villalba Ugarte</t>
  </si>
  <si>
    <t>Akram Abdul Hernández Vásquez</t>
  </si>
  <si>
    <t>Maestría en Salud Pública</t>
  </si>
  <si>
    <t>Tesista coautora de artículo en Therapeutic Innovation &amp; Regulatory Science (2026).</t>
  </si>
  <si>
    <t>Índice de cobertura compuesta en salud maternoinfantil en el Perú: análisis departamental 2019 y 2024 según la Encuesta Demográfica y de Salud Familiar</t>
  </si>
  <si>
    <t>Luis Fernando Ttito Paricahua</t>
  </si>
  <si>
    <t>Tesista coautor de artículo en Therapeutic Innovation &amp; Regulatory Science (2026).</t>
  </si>
  <si>
    <t>Factores asociados a la oportunidad en la atención prehospitalaria de casos sospechosos de enfermedad cerebrovascular aguda</t>
  </si>
  <si>
    <t>David Fernando Zavala Curzo</t>
  </si>
  <si>
    <t>Análisis de planes y estrategias de salud bucal en Perú, 2000-2024</t>
  </si>
  <si>
    <t>Susy Rocío Ávila Herrera</t>
  </si>
  <si>
    <t>Registro pendiente.</t>
  </si>
  <si>
    <t>Terapia antibiótica definitiva y mortalidad a 30 días en bacteriemias por Enterobacterales productores de AmpC: comparación entre no carbapenémicos y carbapenémicos. Cohorte retrospectiva en un hospital público de referencia en Lima-Perú, 2020–2025</t>
  </si>
  <si>
    <t>Anderson Reyna Alva</t>
  </si>
  <si>
    <t>Giancarlo Pérez Lazo</t>
  </si>
  <si>
    <t>Resultados de la aplicación de un curso-taller de lectura crítica sobre las habilidades en lectura crítica de revisiones sistemáticas en médicos especialistas en administración y gestión en salud que laboran en el sector salud en el Perú</t>
  </si>
  <si>
    <t>Nieves Zeta Ruiz</t>
  </si>
  <si>
    <t>Joshi Acosta Barriga</t>
  </si>
  <si>
    <t>Completitud del reporte, calidad metodológica y riesgo de sesgo en estudios de modelos de inteligencia artificial para la predicción diagnóstica clínica con datos de población peruana: protocolo de revisión sistemática metodológica</t>
  </si>
  <si>
    <t>Judith Quiñones Inga</t>
  </si>
  <si>
    <t>Maguiña (nombre completo por registrar)</t>
  </si>
  <si>
    <t>Celdas en ámbar: tesis con 2 años o más desde su registro (priorizar culminación y sustentación). Fechas de inicio y fin vacías en el registro original.</t>
  </si>
  <si>
    <t>Resumen de tesis</t>
  </si>
  <si>
    <t>N.º de tesis</t>
  </si>
  <si>
    <t>Registradas</t>
  </si>
  <si>
    <t>Tesis asesoradas</t>
  </si>
  <si>
    <t>Convocatoria</t>
  </si>
  <si>
    <t>Propuesta</t>
  </si>
  <si>
    <t>Investigadores colaboradores</t>
  </si>
  <si>
    <t>Equipo investigador</t>
  </si>
  <si>
    <t>Fecha de envío</t>
  </si>
  <si>
    <t>Fecha de respuesta (según bases)</t>
  </si>
  <si>
    <t>Adjudicación de fondo</t>
  </si>
  <si>
    <t>Estado a la fecha de corte</t>
  </si>
  <si>
    <t>Proyectos de Investigación Básica 2026-01</t>
  </si>
  <si>
    <t>Caracterización genómica del resistoma y viruloma de bacterias patógenas en los Andes Centrales mediante secuenciación de tercera generación</t>
  </si>
  <si>
    <t>María Pons; Franck Quispe; María Eguiluz</t>
  </si>
  <si>
    <t>A partir del 24 de junio de 2026</t>
  </si>
  <si>
    <t>A partir de agosto de 2026</t>
  </si>
  <si>
    <t>En evaluación – resultado por confirmar</t>
  </si>
  <si>
    <t>Otros fondos en concurso registrados en la hoja de proyectos</t>
  </si>
  <si>
    <t>Proyecto</t>
  </si>
  <si>
    <t>Fondo</t>
  </si>
  <si>
    <t>Referencia</t>
  </si>
  <si>
    <t>Proyecto N.º 8</t>
  </si>
  <si>
    <t>Proyecto N.º 9</t>
  </si>
  <si>
    <t>Webinars y actividades de difusión CTI</t>
  </si>
  <si>
    <t>Título propuesto</t>
  </si>
  <si>
    <t>Responsable (coordina con panelistas y comunicaciones)</t>
  </si>
  <si>
    <t>Moderador(a)</t>
  </si>
  <si>
    <t>Panelistas</t>
  </si>
  <si>
    <t>Fecha del evento</t>
  </si>
  <si>
    <t>Envío de insumos a Comunicaciones</t>
  </si>
  <si>
    <t>Inicio de difusión</t>
  </si>
  <si>
    <t>Estado de la difusión en los proyectos</t>
  </si>
  <si>
    <t>Fuente</t>
  </si>
  <si>
    <t>Webinars registrados</t>
  </si>
  <si>
    <t>Esta hoja</t>
  </si>
  <si>
    <t>Proyectos con webinar registrado</t>
  </si>
  <si>
    <t>Proyectos 2026, col. T</t>
  </si>
  <si>
    <t>Proyectos con acción de incidencia en políticas registrada</t>
  </si>
  <si>
    <t>Proyectos 2026, col. U</t>
  </si>
  <si>
    <t>Proyectos con artículo enviado, aceptado o publicado</t>
  </si>
  <si>
    <t>Proyectos 2026, col. S</t>
  </si>
  <si>
    <t>Oportunidades de difusión identificadas (propuesta de la coordinación)</t>
  </si>
  <si>
    <t>Tema propuesto</t>
  </si>
  <si>
    <t>Insumo del grupo</t>
  </si>
  <si>
    <t>Responsable sugerido</t>
  </si>
  <si>
    <t>Formato</t>
  </si>
  <si>
    <t>Ensayos clínicos autorizados en el Perú 2017–2025: qué nos dice el registro nacional</t>
  </si>
  <si>
    <t>Artículo publicado en Therapeutic Innovation &amp; Regulatory Science</t>
  </si>
  <si>
    <t>Fritzi Villalba Ugarte; Luis Ttito Paricahua</t>
  </si>
  <si>
    <t>Salud mental basada en evidencias: psicoterapias en TLP y autismo en la adultez</t>
  </si>
  <si>
    <t>1 artículo publicado, 1 aceptado y 1 sometido (Proyectos 5–7)</t>
  </si>
  <si>
    <t>Una Salud: resistencia antimicrobiana e influenza zoonótica</t>
  </si>
  <si>
    <t>Proyectos 2 y 3, tesis de MVZ y Medicina, postulación de investigación básica</t>
  </si>
  <si>
    <t>Natalia Vargas Herrera; Jhonathan Bazalar Gonzales</t>
  </si>
  <si>
    <t>Webinar / nota de política</t>
  </si>
  <si>
    <t>Nutracéuticos de precisión y envejecimiento saludable</t>
  </si>
  <si>
    <t>Artículo publicado en Medical Sciences</t>
  </si>
  <si>
    <t>Integrantes y participación en las actividades del grupo</t>
  </si>
  <si>
    <t>Nombre</t>
  </si>
  <si>
    <t>Clave de búsqueda</t>
  </si>
  <si>
    <t>Tipo de participación</t>
  </si>
  <si>
    <t>Proyectos (líder)</t>
  </si>
  <si>
    <t>Proyectos (colaborador)</t>
  </si>
  <si>
    <t>Tesis (asesor/a)</t>
  </si>
  <si>
    <t>Tesis (tesista)</t>
  </si>
  <si>
    <t>Total de participaciones</t>
  </si>
  <si>
    <t>Rol principal en 2026</t>
  </si>
  <si>
    <t>Valdivieso</t>
  </si>
  <si>
    <t>Investigador / tesista de posgrado</t>
  </si>
  <si>
    <t>Zapata</t>
  </si>
  <si>
    <t>Investigador</t>
  </si>
  <si>
    <t>Apolaya</t>
  </si>
  <si>
    <t>Hurtado</t>
  </si>
  <si>
    <t>Investigadora / asesora</t>
  </si>
  <si>
    <t>Bazalar</t>
  </si>
  <si>
    <t>Investigador / asesor</t>
  </si>
  <si>
    <t>Hernández Vásquez</t>
  </si>
  <si>
    <t>Asesor</t>
  </si>
  <si>
    <t>Acosta</t>
  </si>
  <si>
    <t>Vences</t>
  </si>
  <si>
    <t>Vargas Herrera</t>
  </si>
  <si>
    <t>Investigadora</t>
  </si>
  <si>
    <t>Pedro Ruiz Campos</t>
  </si>
  <si>
    <t>Ruiz Campos</t>
  </si>
  <si>
    <t>Castilla</t>
  </si>
  <si>
    <t>Aurora Döll</t>
  </si>
  <si>
    <t>Döll</t>
  </si>
  <si>
    <t>Colaboradora internacional (España)</t>
  </si>
  <si>
    <t>Steev Loyola</t>
  </si>
  <si>
    <t>Loyola</t>
  </si>
  <si>
    <t>Villalba</t>
  </si>
  <si>
    <t>Tesista de posgrado / autora</t>
  </si>
  <si>
    <t>Ttito</t>
  </si>
  <si>
    <t>Tesista de posgrado / autor</t>
  </si>
  <si>
    <t>Pérez Lazo</t>
  </si>
  <si>
    <t>Maguiña</t>
  </si>
  <si>
    <t>María Pons</t>
  </si>
  <si>
    <t>Pons</t>
  </si>
  <si>
    <t>Colaboradora (postulación)</t>
  </si>
  <si>
    <t>Franck Quispe</t>
  </si>
  <si>
    <t>Quispe</t>
  </si>
  <si>
    <t>Colaborador (postulación)</t>
  </si>
  <si>
    <t>María Eguiluz</t>
  </si>
  <si>
    <t>Eguiluz</t>
  </si>
  <si>
    <t>Charapaqui</t>
  </si>
  <si>
    <t>Morales García</t>
  </si>
  <si>
    <t>Eguizabal</t>
  </si>
  <si>
    <t>Zavala</t>
  </si>
  <si>
    <t>Ávila Herrera</t>
  </si>
  <si>
    <t>Reyna</t>
  </si>
  <si>
    <t>Zeta Ruiz</t>
  </si>
  <si>
    <t>Quiñones</t>
  </si>
  <si>
    <t>Total de integrantes registrados</t>
  </si>
  <si>
    <t>Tesistas</t>
  </si>
  <si>
    <t>Colaboradores internacionales</t>
  </si>
  <si>
    <t>Vacíos de información y acciones de seguimiento</t>
  </si>
  <si>
    <t>Revisión de calidad del registro realizada por la coordinación del grupo. Sirve como plan de trabajo para la próxima actualización a la Dirección de Investigación.</t>
  </si>
  <si>
    <t>Hoja</t>
  </si>
  <si>
    <t>Registro</t>
  </si>
  <si>
    <t>Hallazgo</t>
  </si>
  <si>
    <t>Acción de seguimiento</t>
  </si>
  <si>
    <t>Responsable</t>
  </si>
  <si>
    <t>Prioridad</t>
  </si>
  <si>
    <t>Proyecto N.º 2 (Enterobacterales en perros)</t>
  </si>
  <si>
    <t>Sin investigador(a) líder UCSUR, sin fechas ni protocolo registrados; tiene 2 tesis de pregrado vinculadas.</t>
  </si>
  <si>
    <t>Designar líder, registrar protocolo y cronograma.</t>
  </si>
  <si>
    <t>Alta</t>
  </si>
  <si>
    <t>Pendiente</t>
  </si>
  <si>
    <t>Proyecto N.º 3 (influenza zoonótica, TDR-OMS)</t>
  </si>
  <si>
    <t>Único proyecto con entidad financiadora externa, pero sin fechas de ejecución ni protocolo registrado; unidad del costo (40) no especificada.</t>
  </si>
  <si>
    <t>Registrar protocolo, fechas y monto con moneda; confirmar estado del financiamiento.</t>
  </si>
  <si>
    <t>Proyectos N.º 8 y 9 (Semilla Cabieses)</t>
  </si>
  <si>
    <t>Figuran «en concurso»; costo 20 sin unidad.</t>
  </si>
  <si>
    <t>Actualizar resultado del concurso y precisar moneda del costo.</t>
  </si>
  <si>
    <t>Media</t>
  </si>
  <si>
    <t>Proyectos N.º 1, 3, 4, 5, 6, 7</t>
  </si>
  <si>
    <t>Sin número de registro de protocolo.</t>
  </si>
  <si>
    <t>Registrar protocolo o indicar si no aplica (revisiones sistemáticas).</t>
  </si>
  <si>
    <t>Investigadores líderes</t>
  </si>
  <si>
    <t>Proyecto N.º 7</t>
  </si>
  <si>
    <t>Sin institución donde se realiza.</t>
  </si>
  <si>
    <t>Completar institución (UCSUR u otra).</t>
  </si>
  <si>
    <t>Baja</t>
  </si>
  <si>
    <t>Todos los proyectos</t>
  </si>
  <si>
    <t>Costo no monetario, webinar e incidencia en políticas vacíos en los 10 proyectos.</t>
  </si>
  <si>
    <t>Completar campos de difusión e incidencia.</t>
  </si>
  <si>
    <t>Artículos en Therapeutic Innovation &amp; Regulatory Science y Scientific Reports</t>
  </si>
  <si>
    <t>Publicados con filiación CIPHER-LAC, pero no están registrados como proyectos del grupo.</t>
  </si>
  <si>
    <t>Registrar como proyectos/productos del grupo para su trazabilidad.</t>
  </si>
  <si>
    <t>F. Villalba, L. Ttito, S. Loyola</t>
  </si>
  <si>
    <t>Tesis N.º 3 y 8</t>
  </si>
  <si>
    <t>Todavía no registradas.</t>
  </si>
  <si>
    <t>Completar registro de proyecto de tesis.</t>
  </si>
  <si>
    <t>J. Bazalar; Y. Hurtado Roca</t>
  </si>
  <si>
    <t>Tesis N.º 4, 7 y 10</t>
  </si>
  <si>
    <t>Registradas entre 2022 y 2024 (≥ 2 años a la fecha de corte).</t>
  </si>
  <si>
    <t>Priorizar culminación, sustentación y envío del artículo.</t>
  </si>
  <si>
    <t>Y. Hurtado Roca; J. Acosta Barriga</t>
  </si>
  <si>
    <t>Todas las tesis</t>
  </si>
  <si>
    <t>Fechas de inicio, fin y publicación del artículo vacías.</t>
  </si>
  <si>
    <t>Completar cronograma y meta de publicación.</t>
  </si>
  <si>
    <t>Asesores</t>
  </si>
  <si>
    <t>Tesis N.º 11</t>
  </si>
  <si>
    <t>Asesor registrado solo como «Maguiña».</t>
  </si>
  <si>
    <t>Completar nombre del asesor.</t>
  </si>
  <si>
    <t>Investigación Básica 2026-01</t>
  </si>
  <si>
    <t>Resultados previstos desde el 24/06/2026; adjudicación desde agosto 2026. Estado no actualizado.</t>
  </si>
  <si>
    <t>Actualizar resultado (adjudicado / no adjudicado) y equipo investigador.</t>
  </si>
  <si>
    <t>Webinars</t>
  </si>
  <si>
    <t>Ningún webinar registrado en 2026.</t>
  </si>
  <si>
    <t>Programar al menos un webinar por trimestre con base en los artículos publicados (ver propuestas).</t>
  </si>
  <si>
    <t>Coordinación CIPHER-LAC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</si>
</sst>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mmm\-yyyy"/>
    <numFmt numFmtId="166" formatCode="0.0"/>
    <numFmt numFmtId="168" formatCode="&quot;S/&quot;\ #,##0.00"/>
  </numFmts>
  <fonts count="19" x14ac:knownFonts="1">
    <font>
      <sz val="11"/>
      <color theme="1"/>
      <name val="Calibri"/>
      <family val="2"/>
      <charset val="1"/>
    </font>
    <font>
      <sz val="10"/>
      <name val="Arial"/>
      <family val="2"/>
    </font>
    <font>
      <b/>
      <sz val="16"/>
      <color rgb="FFFFFFFF"/>
      <name val="Arial"/>
      <family val="2"/>
    </font>
    <font>
      <i/>
      <sz val="10"/>
      <color rgb="FFFFFFFF"/>
      <name val="Arial"/>
      <family val="2"/>
    </font>
    <font>
      <b/>
      <sz val="10"/>
      <name val="Arial"/>
      <family val="2"/>
    </font>
    <font>
      <sz val="10"/>
      <color rgb="FF000000"/>
      <name val="Arial"/>
      <family val="2"/>
    </font>
    <font>
      <sz val="10"/>
      <color rgb="FF0000FF"/>
      <name val="Arial"/>
      <family val="2"/>
    </font>
    <font>
      <b/>
      <sz val="11"/>
      <color rgb="FF1F3A5F"/>
      <name val="Arial"/>
      <family val="2"/>
    </font>
    <font>
      <b/>
      <sz val="10"/>
      <color rgb="FF1F3A5F"/>
      <name val="Arial"/>
      <family val="2"/>
    </font>
    <font>
      <b/>
      <sz val="10"/>
      <color rgb="FFFFFFFF"/>
      <name val="Arial"/>
      <family val="2"/>
    </font>
    <font>
      <sz val="9"/>
      <color rgb="FF6B7280"/>
      <name val="Arial"/>
      <family val="2"/>
    </font>
    <font>
      <b/>
      <sz val="9"/>
      <color rgb="FF2E7D7A"/>
      <name val="Arial"/>
      <family val="2"/>
    </font>
    <font>
      <sz val="10"/>
      <name val="Arial"/>
      <family val="2"/>
    </font>
    <font>
      <u/>
      <sz val="9"/>
      <color rgb="FF1D4ED8"/>
      <name val="Arial"/>
      <family val="2"/>
    </font>
    <font>
      <u/>
      <sz val="10"/>
      <color rgb="FF1D4ED8"/>
      <name val="Arial"/>
      <family val="2"/>
    </font>
    <font>
      <b/>
      <sz val="14"/>
      <color rgb="FFFFFFFF"/>
      <name val="Arial"/>
      <family val="2"/>
    </font>
    <font>
      <i/>
      <sz val="9"/>
      <color rgb="FF4B5563"/>
      <name val="Arial"/>
      <family val="2"/>
    </font>
    <font>
      <i/>
      <sz val="9"/>
      <color rgb="FF6B7280"/>
      <name val="Arial"/>
      <family val="2"/>
    </font>
    <font>
      <i/>
      <sz val="10"/>
      <color rgb="FF9CA3AF"/>
      <name val="Arial"/>
      <family val="2"/>
    </font>
  </fonts>
  <fills count="10">
    <fill>
      <patternFill patternType="none"/>
    </fill>
    <fill>
      <patternFill patternType="gray125"/>
    </fill>
    <fill>
      <patternFill patternType="solid">
        <fgColor rgb="FF1F3A5F"/>
        <bgColor rgb="FF333399"/>
      </patternFill>
    </fill>
    <fill>
      <patternFill patternType="solid">
        <fgColor rgb="FF2E7D7A"/>
        <bgColor rgb="FF008080"/>
      </patternFill>
    </fill>
    <fill>
      <patternFill patternType="solid">
        <fgColor rgb="FFE8F1F0"/>
        <bgColor rgb="FFE3F4E8"/>
      </patternFill>
    </fill>
    <fill>
      <patternFill patternType="solid">
        <fgColor rgb="FFF3F4F6"/>
        <bgColor rgb="FFE8F1F0"/>
      </patternFill>
    </fill>
    <fill>
      <patternFill patternType="solid">
        <fgColor rgb="FFFFF4D6"/>
        <bgColor rgb="FFFFFBEA"/>
      </patternFill>
    </fill>
    <fill>
      <patternFill patternType="solid">
        <fgColor rgb="FFE3F4E8"/>
        <bgColor rgb="FFE8F1F0"/>
      </patternFill>
    </fill>
    <fill>
      <patternFill patternType="solid">
        <fgColor rgb="FFFFFBEA"/>
        <bgColor rgb="FFFFFFFF"/>
      </patternFill>
    </fill>
    <fill>
      <patternFill patternType="solid">
        <fgColor rgb="FFFBE3E1"/>
        <bgColor rgb="FFFFF4D6"/>
      </patternFill>
    </fill>
  </fills>
  <borders count="2">
    <border>
      <left/>
      <right/>
      <top/>
      <bottom/>
      <diagonal/>
    </border>
    <border>
      <left style="thin">
        <color rgb="FFC9CED6"/>
      </left>
      <right style="thin">
        <color rgb="FFC9CED6"/>
      </right>
      <top style="thin">
        <color rgb="FFC9CED6"/>
      </top>
      <bottom style="thin">
        <color rgb="FFC9CED6"/>
      </bottom>
      <diagonal/>
    </border>
  </borders>
  <cellStyleXfs count="1">
    <xf numFmtId="0" fontId="0" fillId="0" borderId="0"/>
  </cellStyleXfs>
  <cellXfs count="41">
    <xf numFmtId="0" fontId="0" fillId="0" borderId="0" xfId="0"/>
    <xf numFmtId="0" fontId="16" fillId="0" borderId="0" xfId="0" applyFont="1" applyAlignment="1">
      <alignment vertical="top" wrapText="1" indent="1"/>
    </xf>
    <xf numFmtId="0" fontId="15" fillId="2" borderId="0" xfId="0" applyFont="1" applyFill="1" applyAlignment="1">
      <alignment vertical="center" indent="1"/>
    </xf>
    <xf numFmtId="0" fontId="12" fillId="0" borderId="0" xfId="0" applyFont="1" applyAlignment="1">
      <alignment vertical="top" wrapText="1"/>
    </xf>
    <xf numFmtId="0" fontId="11" fillId="5" borderId="0" xfId="0" applyFont="1" applyFill="1"/>
    <xf numFmtId="0" fontId="7" fillId="4" borderId="0" xfId="0" applyFont="1" applyFill="1" applyAlignment="1">
      <alignment vertical="center" indent="1"/>
    </xf>
    <xf numFmtId="0" fontId="3" fillId="3" borderId="0" xfId="0" applyFont="1" applyFill="1" applyAlignment="1">
      <alignment vertical="center" indent="1"/>
    </xf>
    <xf numFmtId="0" fontId="2" fillId="2" borderId="0" xfId="0" applyFont="1" applyFill="1" applyAlignment="1">
      <alignment vertical="center" indent="1"/>
    </xf>
    <xf numFmtId="0" fontId="4" fillId="0" borderId="0" xfId="0" applyFont="1"/>
    <xf numFmtId="0" fontId="5" fillId="0" borderId="0" xfId="0" applyFont="1"/>
    <xf numFmtId="164" fontId="6" fillId="0" borderId="0" xfId="0" applyNumberFormat="1" applyFont="1" applyAlignment="1">
      <alignment horizontal="left"/>
    </xf>
    <xf numFmtId="0" fontId="8" fillId="0" borderId="0" xfId="0" applyFont="1"/>
    <xf numFmtId="0" fontId="9" fillId="2" borderId="1" xfId="0" applyFont="1" applyFill="1" applyBorder="1" applyAlignment="1">
      <alignment horizontal="center" vertical="center" wrapText="1"/>
    </xf>
    <xf numFmtId="0" fontId="10" fillId="0" borderId="0" xfId="0" applyFont="1"/>
    <xf numFmtId="0" fontId="12" fillId="0" borderId="1" xfId="0" applyFont="1" applyBorder="1" applyAlignment="1">
      <alignment horizontal="left" vertical="top" wrapText="1"/>
    </xf>
    <xf numFmtId="0" fontId="7" fillId="0" borderId="1" xfId="0" applyFont="1" applyBorder="1" applyAlignment="1">
      <alignment horizontal="center" vertical="top" wrapText="1"/>
    </xf>
    <xf numFmtId="0" fontId="13" fillId="0" borderId="1" xfId="0" applyFont="1" applyBorder="1" applyAlignment="1">
      <alignment horizontal="left" vertical="top" wrapText="1"/>
    </xf>
    <xf numFmtId="0" fontId="12" fillId="0" borderId="1" xfId="0" applyFont="1" applyBorder="1" applyAlignment="1">
      <alignment horizontal="center" vertical="top" wrapText="1"/>
    </xf>
    <xf numFmtId="0" fontId="14" fillId="0" borderId="1" xfId="0" applyFont="1" applyBorder="1" applyAlignment="1">
      <alignment horizontal="left" vertical="top" wrapText="1"/>
    </xf>
    <xf numFmtId="0" fontId="9" fillId="3" borderId="1" xfId="0" applyFont="1" applyFill="1" applyBorder="1" applyAlignment="1">
      <alignment horizontal="center" vertical="center" wrapText="1"/>
    </xf>
    <xf numFmtId="0" fontId="4" fillId="0" borderId="1" xfId="0" applyFont="1" applyBorder="1" applyAlignment="1">
      <alignment horizontal="center"/>
    </xf>
    <xf numFmtId="0" fontId="17" fillId="0" borderId="0" xfId="0" applyFont="1"/>
    <xf numFmtId="0" fontId="18" fillId="0" borderId="1" xfId="0" applyFont="1" applyBorder="1" applyAlignment="1">
      <alignment horizontal="center" vertical="top" wrapText="1"/>
    </xf>
    <xf numFmtId="0" fontId="18" fillId="0" borderId="1" xfId="0" applyFont="1" applyBorder="1" applyAlignment="1">
      <alignment horizontal="left" vertical="top" wrapText="1"/>
    </xf>
    <xf numFmtId="165" fontId="12" fillId="0" borderId="1" xfId="0" applyNumberFormat="1" applyFont="1" applyBorder="1" applyAlignment="1">
      <alignment horizontal="center" vertical="top" wrapText="1"/>
    </xf>
    <xf numFmtId="0" fontId="12" fillId="4" borderId="1" xfId="0" applyFont="1" applyFill="1" applyBorder="1" applyAlignment="1">
      <alignment horizontal="left" vertical="top" wrapText="1"/>
    </xf>
    <xf numFmtId="165" fontId="18" fillId="0" borderId="1" xfId="0" applyNumberFormat="1" applyFont="1" applyBorder="1" applyAlignment="1">
      <alignment horizontal="center" vertical="top" wrapText="1"/>
    </xf>
    <xf numFmtId="0" fontId="12" fillId="6"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12" fillId="7"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164" fontId="12" fillId="0" borderId="1" xfId="0" applyNumberFormat="1" applyFont="1" applyBorder="1" applyAlignment="1">
      <alignment horizontal="center" vertical="top" wrapText="1"/>
    </xf>
    <xf numFmtId="9" fontId="12"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9" fontId="4" fillId="0" borderId="1" xfId="0" applyNumberFormat="1" applyFont="1" applyBorder="1" applyAlignment="1">
      <alignment horizontal="center" vertical="top" wrapText="1"/>
    </xf>
    <xf numFmtId="166" fontId="12" fillId="0" borderId="1" xfId="0" applyNumberFormat="1" applyFont="1" applyBorder="1" applyAlignment="1">
      <alignment horizontal="center" vertical="top" wrapText="1"/>
    </xf>
    <xf numFmtId="0" fontId="12" fillId="8" borderId="1" xfId="0" applyFont="1" applyFill="1" applyBorder="1" applyAlignment="1">
      <alignment horizontal="left" vertical="top" wrapText="1"/>
    </xf>
    <xf numFmtId="164" fontId="12" fillId="8" borderId="1" xfId="0" applyNumberFormat="1" applyFont="1" applyFill="1" applyBorder="1" applyAlignment="1">
      <alignment horizontal="left" vertical="top" wrapText="1"/>
    </xf>
    <xf numFmtId="0" fontId="12" fillId="9" borderId="1" xfId="0" applyFont="1" applyFill="1" applyBorder="1" applyAlignment="1">
      <alignment horizontal="center" vertical="top" wrapText="1"/>
    </xf>
    <xf numFmtId="168" fontId="12" fillId="0" borderId="1" xfId="0" applyNumberFormat="1" applyFont="1" applyBorder="1" applyAlignment="1">
      <alignment horizontal="center" vertical="top" wrapText="1"/>
    </xf>
  </cellXfs>
  <cellStyles count="1">
    <cellStyle name="Normal" xfId="0" builtinId="0"/>
  </cellStyles>
  <dxfs count="5">
    <dxf>
      <font>
        <b/>
        <name val="Arial"/>
        <charset val="1"/>
      </font>
      <fill>
        <patternFill>
          <bgColor rgb="FFE3F4E8"/>
        </patternFill>
      </fill>
    </dxf>
    <dxf>
      <font>
        <b/>
        <color rgb="FF9A3412"/>
        <name val="Arial"/>
        <charset val="1"/>
      </font>
      <fill>
        <patternFill>
          <bgColor rgb="FFFFF4D6"/>
        </patternFill>
      </fill>
    </dxf>
    <dxf>
      <fill>
        <patternFill>
          <bgColor rgb="FFFBE3E1"/>
        </patternFill>
      </fill>
    </dxf>
    <dxf>
      <fill>
        <patternFill>
          <bgColor rgb="FFE3F4E8"/>
        </patternFill>
      </fill>
    </dxf>
    <dxf>
      <fill>
        <patternFill>
          <bgColor rgb="FFE3F4E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91C1C"/>
      <rgbColor rgb="FFFFF4D6"/>
      <rgbColor rgb="FFE3F4E8"/>
      <rgbColor rgb="FF660066"/>
      <rgbColor rgb="FFFF8080"/>
      <rgbColor rgb="FF1D4ED8"/>
      <rgbColor rgb="FFC9CED6"/>
      <rgbColor rgb="FF000080"/>
      <rgbColor rgb="FFFF00FF"/>
      <rgbColor rgb="FFFFFF00"/>
      <rgbColor rgb="FF00FFFF"/>
      <rgbColor rgb="FF800080"/>
      <rgbColor rgb="FF800000"/>
      <rgbColor rgb="FF008080"/>
      <rgbColor rgb="FF0000FF"/>
      <rgbColor rgb="FF00CCFF"/>
      <rgbColor rgb="FFE8F1F0"/>
      <rgbColor rgb="FFF3F4F6"/>
      <rgbColor rgb="FFFFFBEA"/>
      <rgbColor rgb="FF99CCFF"/>
      <rgbColor rgb="FFFF99CC"/>
      <rgbColor rgb="FFCC99FF"/>
      <rgbColor rgb="FFFBE3E1"/>
      <rgbColor rgb="FF3366FF"/>
      <rgbColor rgb="FF33CCCC"/>
      <rgbColor rgb="FF99CC00"/>
      <rgbColor rgb="FFFFCC00"/>
      <rgbColor rgb="FFFF9900"/>
      <rgbColor rgb="FFC77D2E"/>
      <rgbColor rgb="FF6B7280"/>
      <rgbColor rgb="FF9CA3AF"/>
      <rgbColor rgb="FF1F3A5F"/>
      <rgbColor rgb="FF2E7D7A"/>
      <rgbColor rgb="FF003300"/>
      <rgbColor rgb="FF333300"/>
      <rgbColor rgb="FF9A3412"/>
      <rgbColor rgb="FF993366"/>
      <rgbColor rgb="FF333399"/>
      <rgbColor rgb="FF4B556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800" b="1" strike="noStrike" spc="-1">
                <a:solidFill>
                  <a:srgbClr val="000000"/>
                </a:solidFill>
                <a:latin typeface="Calibri"/>
              </a:defRPr>
            </a:pPr>
            <a:r>
              <a:rPr lang="es-PE" sz="1800" b="1" strike="noStrike" spc="-1">
                <a:solidFill>
                  <a:srgbClr val="000000"/>
                </a:solidFill>
                <a:latin typeface="Calibri"/>
              </a:rPr>
              <a:t>Producción científica 2026</a:t>
            </a:r>
          </a:p>
        </c:rich>
      </c:tx>
      <c:overlay val="0"/>
      <c:spPr>
        <a:noFill/>
        <a:ln w="0">
          <a:noFill/>
        </a:ln>
      </c:spPr>
    </c:title>
    <c:autoTitleDeleted val="0"/>
    <c:plotArea>
      <c:layout/>
      <c:barChart>
        <c:barDir val="col"/>
        <c:grouping val="clustered"/>
        <c:varyColors val="0"/>
        <c:ser>
          <c:idx val="0"/>
          <c:order val="0"/>
          <c:spPr>
            <a:solidFill>
              <a:srgbClr val="1F3A5F"/>
            </a:solidFill>
            <a:ln w="9360">
              <a:solidFill>
                <a:srgbClr val="1F3A5F"/>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Resumen!$P$11:$P$13</c:f>
              <c:strCache>
                <c:ptCount val="3"/>
                <c:pt idx="0">
                  <c:v>Publicado</c:v>
                </c:pt>
                <c:pt idx="1">
                  <c:v>Aceptado</c:v>
                </c:pt>
                <c:pt idx="2">
                  <c:v>Sometido</c:v>
                </c:pt>
              </c:strCache>
            </c:strRef>
          </c:cat>
          <c:val>
            <c:numRef>
              <c:f>Resumen!$Q$11:$Q$13</c:f>
              <c:numCache>
                <c:formatCode>General</c:formatCode>
                <c:ptCount val="3"/>
                <c:pt idx="0">
                  <c:v>4</c:v>
                </c:pt>
                <c:pt idx="1">
                  <c:v>1</c:v>
                </c:pt>
                <c:pt idx="2">
                  <c:v>3</c:v>
                </c:pt>
              </c:numCache>
            </c:numRef>
          </c:val>
          <c:extLst>
            <c:ext xmlns:c16="http://schemas.microsoft.com/office/drawing/2014/chart" uri="{C3380CC4-5D6E-409C-BE32-E72D297353CC}">
              <c16:uniqueId val="{00000000-26DA-574D-9845-DA7758884839}"/>
            </c:ext>
          </c:extLst>
        </c:ser>
        <c:dLbls>
          <c:showLegendKey val="0"/>
          <c:showVal val="0"/>
          <c:showCatName val="0"/>
          <c:showSerName val="0"/>
          <c:showPercent val="0"/>
          <c:showBubbleSize val="0"/>
        </c:dLbls>
        <c:gapWidth val="60"/>
        <c:axId val="59771821"/>
        <c:axId val="91786399"/>
      </c:barChart>
      <c:catAx>
        <c:axId val="597718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E"/>
          </a:p>
        </c:txPr>
        <c:crossAx val="91786399"/>
        <c:crosses val="autoZero"/>
        <c:auto val="1"/>
        <c:lblAlgn val="ctr"/>
        <c:lblOffset val="100"/>
        <c:noMultiLvlLbl val="0"/>
      </c:catAx>
      <c:valAx>
        <c:axId val="91786399"/>
        <c:scaling>
          <c:orientation val="minMax"/>
        </c:scaling>
        <c:delete val="1"/>
        <c:axPos val="l"/>
        <c:numFmt formatCode="General" sourceLinked="1"/>
        <c:majorTickMark val="none"/>
        <c:minorTickMark val="none"/>
        <c:tickLblPos val="nextTo"/>
        <c:crossAx val="5977182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800" b="1" strike="noStrike" spc="-1">
                <a:solidFill>
                  <a:srgbClr val="000000"/>
                </a:solidFill>
                <a:latin typeface="Calibri"/>
              </a:defRPr>
            </a:pPr>
            <a:r>
              <a:rPr lang="es-PE" sz="1800" b="1" strike="noStrike" spc="-1">
                <a:solidFill>
                  <a:srgbClr val="000000"/>
                </a:solidFill>
                <a:latin typeface="Calibri"/>
              </a:rPr>
              <a:t>Tesis por programa</a:t>
            </a:r>
          </a:p>
        </c:rich>
      </c:tx>
      <c:overlay val="0"/>
      <c:spPr>
        <a:noFill/>
        <a:ln w="0">
          <a:noFill/>
        </a:ln>
      </c:spPr>
    </c:title>
    <c:autoTitleDeleted val="0"/>
    <c:plotArea>
      <c:layout/>
      <c:barChart>
        <c:barDir val="bar"/>
        <c:grouping val="clustered"/>
        <c:varyColors val="0"/>
        <c:ser>
          <c:idx val="0"/>
          <c:order val="0"/>
          <c:spPr>
            <a:solidFill>
              <a:srgbClr val="2E7D7A"/>
            </a:solidFill>
            <a:ln w="9360">
              <a:solidFill>
                <a:srgbClr val="2E7D7A"/>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Resumen!$P$16:$P$19</c:f>
              <c:strCache>
                <c:ptCount val="4"/>
                <c:pt idx="0">
                  <c:v>Maestría Epidemiología Clínica y Bioestadística</c:v>
                </c:pt>
                <c:pt idx="1">
                  <c:v>Maestría Salud Pública</c:v>
                </c:pt>
                <c:pt idx="2">
                  <c:v>Medicina Veterinaria y Zootecnia</c:v>
                </c:pt>
                <c:pt idx="3">
                  <c:v>Medicina Humana</c:v>
                </c:pt>
              </c:strCache>
            </c:strRef>
          </c:cat>
          <c:val>
            <c:numRef>
              <c:f>Resumen!$Q$16:$Q$19</c:f>
              <c:numCache>
                <c:formatCode>General</c:formatCode>
                <c:ptCount val="4"/>
                <c:pt idx="0">
                  <c:v>5</c:v>
                </c:pt>
                <c:pt idx="1">
                  <c:v>3</c:v>
                </c:pt>
                <c:pt idx="2">
                  <c:v>2</c:v>
                </c:pt>
                <c:pt idx="3">
                  <c:v>1</c:v>
                </c:pt>
              </c:numCache>
            </c:numRef>
          </c:val>
          <c:extLst>
            <c:ext xmlns:c16="http://schemas.microsoft.com/office/drawing/2014/chart" uri="{C3380CC4-5D6E-409C-BE32-E72D297353CC}">
              <c16:uniqueId val="{00000000-064E-4748-8D69-B62F22725EFD}"/>
            </c:ext>
          </c:extLst>
        </c:ser>
        <c:dLbls>
          <c:showLegendKey val="0"/>
          <c:showVal val="0"/>
          <c:showCatName val="0"/>
          <c:showSerName val="0"/>
          <c:showPercent val="0"/>
          <c:showBubbleSize val="0"/>
        </c:dLbls>
        <c:gapWidth val="60"/>
        <c:axId val="90882598"/>
        <c:axId val="76149111"/>
      </c:barChart>
      <c:catAx>
        <c:axId val="90882598"/>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E"/>
          </a:p>
        </c:txPr>
        <c:crossAx val="76149111"/>
        <c:crosses val="autoZero"/>
        <c:auto val="1"/>
        <c:lblAlgn val="ctr"/>
        <c:lblOffset val="100"/>
        <c:noMultiLvlLbl val="0"/>
      </c:catAx>
      <c:valAx>
        <c:axId val="76149111"/>
        <c:scaling>
          <c:orientation val="minMax"/>
        </c:scaling>
        <c:delete val="1"/>
        <c:axPos val="t"/>
        <c:numFmt formatCode="General" sourceLinked="1"/>
        <c:majorTickMark val="none"/>
        <c:minorTickMark val="none"/>
        <c:tickLblPos val="nextTo"/>
        <c:crossAx val="9088259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800" b="1" strike="noStrike" spc="-1">
                <a:solidFill>
                  <a:srgbClr val="000000"/>
                </a:solidFill>
                <a:latin typeface="Calibri"/>
              </a:defRPr>
            </a:pPr>
            <a:r>
              <a:rPr lang="es-PE" sz="1800" b="1" strike="noStrike" spc="-1">
                <a:solidFill>
                  <a:srgbClr val="000000"/>
                </a:solidFill>
                <a:latin typeface="Calibri"/>
              </a:rPr>
              <a:t>Registros del grupo por línea de investigación UCSUR</a:t>
            </a:r>
          </a:p>
        </c:rich>
      </c:tx>
      <c:overlay val="0"/>
      <c:spPr>
        <a:noFill/>
        <a:ln w="0">
          <a:noFill/>
        </a:ln>
      </c:spPr>
    </c:title>
    <c:autoTitleDeleted val="0"/>
    <c:plotArea>
      <c:layout/>
      <c:barChart>
        <c:barDir val="bar"/>
        <c:grouping val="clustered"/>
        <c:varyColors val="0"/>
        <c:ser>
          <c:idx val="0"/>
          <c:order val="0"/>
          <c:spPr>
            <a:solidFill>
              <a:srgbClr val="C77D2E"/>
            </a:solidFill>
            <a:ln w="9360">
              <a:solidFill>
                <a:srgbClr val="C77D2E"/>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s-PE"/>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Resumen!$P$22:$P$29</c:f>
              <c:strCache>
                <c:ptCount val="8"/>
                <c:pt idx="0">
                  <c:v>Neurociencias y salud mental</c:v>
                </c:pt>
                <c:pt idx="1">
                  <c:v>Microbiología, infecciosas y one health</c:v>
                </c:pt>
                <c:pt idx="2">
                  <c:v>Inmunidad, cáncer y enfermedades crónicas</c:v>
                </c:pt>
                <c:pt idx="3">
                  <c:v>Salud pública, salud ocupacional y gestión en salud</c:v>
                </c:pt>
                <c:pt idx="4">
                  <c:v>Nutrición, bienestar y actividad física</c:v>
                </c:pt>
                <c:pt idx="5">
                  <c:v>Salud basada en evidencias</c:v>
                </c:pt>
                <c:pt idx="6">
                  <c:v>Estomatología y salud bucodental</c:v>
                </c:pt>
                <c:pt idx="7">
                  <c:v>Innovación educativa y simulación en salud</c:v>
                </c:pt>
              </c:strCache>
            </c:strRef>
          </c:cat>
          <c:val>
            <c:numRef>
              <c:f>Resumen!$Q$22:$Q$29</c:f>
              <c:numCache>
                <c:formatCode>General</c:formatCode>
                <c:ptCount val="8"/>
                <c:pt idx="0">
                  <c:v>9</c:v>
                </c:pt>
                <c:pt idx="1">
                  <c:v>7</c:v>
                </c:pt>
                <c:pt idx="2">
                  <c:v>5</c:v>
                </c:pt>
                <c:pt idx="3">
                  <c:v>4</c:v>
                </c:pt>
                <c:pt idx="4">
                  <c:v>2</c:v>
                </c:pt>
                <c:pt idx="5">
                  <c:v>1</c:v>
                </c:pt>
                <c:pt idx="6">
                  <c:v>1</c:v>
                </c:pt>
                <c:pt idx="7">
                  <c:v>1</c:v>
                </c:pt>
              </c:numCache>
            </c:numRef>
          </c:val>
          <c:extLst>
            <c:ext xmlns:c16="http://schemas.microsoft.com/office/drawing/2014/chart" uri="{C3380CC4-5D6E-409C-BE32-E72D297353CC}">
              <c16:uniqueId val="{00000000-88C3-0140-921E-8B719F0B82CE}"/>
            </c:ext>
          </c:extLst>
        </c:ser>
        <c:dLbls>
          <c:showLegendKey val="0"/>
          <c:showVal val="0"/>
          <c:showCatName val="0"/>
          <c:showSerName val="0"/>
          <c:showPercent val="0"/>
          <c:showBubbleSize val="0"/>
        </c:dLbls>
        <c:gapWidth val="60"/>
        <c:axId val="20069120"/>
        <c:axId val="16215148"/>
      </c:barChart>
      <c:catAx>
        <c:axId val="20069120"/>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E"/>
          </a:p>
        </c:txPr>
        <c:crossAx val="16215148"/>
        <c:crosses val="autoZero"/>
        <c:auto val="1"/>
        <c:lblAlgn val="ctr"/>
        <c:lblOffset val="100"/>
        <c:noMultiLvlLbl val="0"/>
      </c:catAx>
      <c:valAx>
        <c:axId val="16215148"/>
        <c:scaling>
          <c:orientation val="minMax"/>
        </c:scaling>
        <c:delete val="1"/>
        <c:axPos val="t"/>
        <c:numFmt formatCode="General" sourceLinked="1"/>
        <c:majorTickMark val="none"/>
        <c:minorTickMark val="none"/>
        <c:tickLblPos val="nextTo"/>
        <c:crossAx val="2006912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8</xdr:row>
      <xdr:rowOff>0</xdr:rowOff>
    </xdr:from>
    <xdr:to>
      <xdr:col>10</xdr:col>
      <xdr:colOff>90720</xdr:colOff>
      <xdr:row>18</xdr:row>
      <xdr:rowOff>82440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22</xdr:row>
      <xdr:rowOff>0</xdr:rowOff>
    </xdr:from>
    <xdr:to>
      <xdr:col>10</xdr:col>
      <xdr:colOff>90720</xdr:colOff>
      <xdr:row>34</xdr:row>
      <xdr:rowOff>53640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36</xdr:row>
      <xdr:rowOff>0</xdr:rowOff>
    </xdr:from>
    <xdr:to>
      <xdr:col>10</xdr:col>
      <xdr:colOff>90720</xdr:colOff>
      <xdr:row>46</xdr:row>
      <xdr:rowOff>116280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Downloads/CIPHER-LAC_Informe_de_avances_2026.xlsx" TargetMode="External"/><Relationship Id="rId18" Type="http://schemas.openxmlformats.org/officeDocument/2006/relationships/hyperlink" Target="../../../../../../Downloads/CIPHER-LAC_Informe_de_avances_2026.xlsx" TargetMode="External"/><Relationship Id="rId26" Type="http://schemas.openxmlformats.org/officeDocument/2006/relationships/hyperlink" Target="../../../../../../Downloads/CIPHER-LAC_Informe_de_avances_2026.xlsx" TargetMode="External"/><Relationship Id="rId3" Type="http://schemas.openxmlformats.org/officeDocument/2006/relationships/hyperlink" Target="../../../../../../Downloads/CIPHER-LAC_Informe_de_avances_2026.xlsx" TargetMode="External"/><Relationship Id="rId21" Type="http://schemas.openxmlformats.org/officeDocument/2006/relationships/hyperlink" Target="../../../../../../Downloads/CIPHER-LAC_Informe_de_avances_2026.xlsx" TargetMode="External"/><Relationship Id="rId7" Type="http://schemas.openxmlformats.org/officeDocument/2006/relationships/hyperlink" Target="../../../../../../Downloads/CIPHER-LAC_Informe_de_avances_2026.xlsx" TargetMode="External"/><Relationship Id="rId12" Type="http://schemas.openxmlformats.org/officeDocument/2006/relationships/hyperlink" Target="../../../../../../Downloads/CIPHER-LAC_Informe_de_avances_2026.xlsx" TargetMode="External"/><Relationship Id="rId17" Type="http://schemas.openxmlformats.org/officeDocument/2006/relationships/hyperlink" Target="../../../../../../Downloads/CIPHER-LAC_Informe_de_avances_2026.xlsx" TargetMode="External"/><Relationship Id="rId25" Type="http://schemas.openxmlformats.org/officeDocument/2006/relationships/hyperlink" Target="../../../../../../Downloads/CIPHER-LAC_Informe_de_avances_2026.xlsx" TargetMode="External"/><Relationship Id="rId33" Type="http://schemas.openxmlformats.org/officeDocument/2006/relationships/comments" Target="../comments1.xml"/><Relationship Id="rId2" Type="http://schemas.openxmlformats.org/officeDocument/2006/relationships/hyperlink" Target="../../../../../../Downloads/CIPHER-LAC_Informe_de_avances_2026.xlsx" TargetMode="External"/><Relationship Id="rId16" Type="http://schemas.openxmlformats.org/officeDocument/2006/relationships/hyperlink" Target="../../../../../../Downloads/CIPHER-LAC_Informe_de_avances_2026.xlsx" TargetMode="External"/><Relationship Id="rId20" Type="http://schemas.openxmlformats.org/officeDocument/2006/relationships/hyperlink" Target="../../../../../../Downloads/CIPHER-LAC_Informe_de_avances_2026.xlsx" TargetMode="External"/><Relationship Id="rId29" Type="http://schemas.openxmlformats.org/officeDocument/2006/relationships/hyperlink" Target="../../../../../../Downloads/CIPHER-LAC_Informe_de_avances_2026.xlsx" TargetMode="External"/><Relationship Id="rId1" Type="http://schemas.openxmlformats.org/officeDocument/2006/relationships/hyperlink" Target="../../../../../../Downloads/CIPHER-LAC_Informe_de_avances_2026.xlsx" TargetMode="External"/><Relationship Id="rId6" Type="http://schemas.openxmlformats.org/officeDocument/2006/relationships/hyperlink" Target="../../../../../../Downloads/CIPHER-LAC_Informe_de_avances_2026.xlsx" TargetMode="External"/><Relationship Id="rId11" Type="http://schemas.openxmlformats.org/officeDocument/2006/relationships/hyperlink" Target="../../../../../../Downloads/CIPHER-LAC_Informe_de_avances_2026.xlsx" TargetMode="External"/><Relationship Id="rId24" Type="http://schemas.openxmlformats.org/officeDocument/2006/relationships/hyperlink" Target="../../../../../../Downloads/CIPHER-LAC_Informe_de_avances_2026.xlsx" TargetMode="External"/><Relationship Id="rId32" Type="http://schemas.openxmlformats.org/officeDocument/2006/relationships/vmlDrawing" Target="../drawings/vmlDrawing1.vml"/><Relationship Id="rId5" Type="http://schemas.openxmlformats.org/officeDocument/2006/relationships/hyperlink" Target="../../../../../../Downloads/CIPHER-LAC_Informe_de_avances_2026.xlsx" TargetMode="External"/><Relationship Id="rId15" Type="http://schemas.openxmlformats.org/officeDocument/2006/relationships/hyperlink" Target="../../../../../../Downloads/CIPHER-LAC_Informe_de_avances_2026.xlsx" TargetMode="External"/><Relationship Id="rId23" Type="http://schemas.openxmlformats.org/officeDocument/2006/relationships/hyperlink" Target="../../../../../../Downloads/CIPHER-LAC_Informe_de_avances_2026.xlsx" TargetMode="External"/><Relationship Id="rId28" Type="http://schemas.openxmlformats.org/officeDocument/2006/relationships/hyperlink" Target="../../../../../../Downloads/CIPHER-LAC_Informe_de_avances_2026.xlsx" TargetMode="External"/><Relationship Id="rId10" Type="http://schemas.openxmlformats.org/officeDocument/2006/relationships/hyperlink" Target="../../../../../../Downloads/CIPHER-LAC_Informe_de_avances_2026.xlsx" TargetMode="External"/><Relationship Id="rId19" Type="http://schemas.openxmlformats.org/officeDocument/2006/relationships/hyperlink" Target="../../../../../../Downloads/CIPHER-LAC_Informe_de_avances_2026.xlsx" TargetMode="External"/><Relationship Id="rId31" Type="http://schemas.openxmlformats.org/officeDocument/2006/relationships/drawing" Target="../drawings/drawing1.xml"/><Relationship Id="rId4" Type="http://schemas.openxmlformats.org/officeDocument/2006/relationships/hyperlink" Target="../../../../../../Downloads/CIPHER-LAC_Informe_de_avances_2026.xlsx" TargetMode="External"/><Relationship Id="rId9" Type="http://schemas.openxmlformats.org/officeDocument/2006/relationships/hyperlink" Target="../../../../../../Downloads/CIPHER-LAC_Informe_de_avances_2026.xlsx" TargetMode="External"/><Relationship Id="rId14" Type="http://schemas.openxmlformats.org/officeDocument/2006/relationships/hyperlink" Target="../../../../../../Downloads/CIPHER-LAC_Informe_de_avances_2026.xlsx" TargetMode="External"/><Relationship Id="rId22" Type="http://schemas.openxmlformats.org/officeDocument/2006/relationships/hyperlink" Target="../../../../../../Downloads/CIPHER-LAC_Informe_de_avances_2026.xlsx" TargetMode="External"/><Relationship Id="rId27" Type="http://schemas.openxmlformats.org/officeDocument/2006/relationships/hyperlink" Target="../../../../../../Downloads/CIPHER-LAC_Informe_de_avances_2026.xlsx" TargetMode="External"/><Relationship Id="rId30" Type="http://schemas.openxmlformats.org/officeDocument/2006/relationships/hyperlink" Target="../../../../../../Downloads/CIPHER-LAC_Informe_de_avances_2026.xlsx" TargetMode="External"/><Relationship Id="rId8" Type="http://schemas.openxmlformats.org/officeDocument/2006/relationships/hyperlink" Target="../../../../../../Downloads/CIPHER-LAC_Informe_de_avances_2026.xlsx"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i.org/10.1177/25739581261450541" TargetMode="External"/><Relationship Id="rId2" Type="http://schemas.openxmlformats.org/officeDocument/2006/relationships/hyperlink" Target="https://www.mdpi.com/2076-3271/14/5/508" TargetMode="External"/><Relationship Id="rId1" Type="http://schemas.openxmlformats.org/officeDocument/2006/relationships/hyperlink" Target="https://link.springer.com/article/10.1007/s43441-026-01040-9" TargetMode="External"/><Relationship Id="rId4" Type="http://schemas.openxmlformats.org/officeDocument/2006/relationships/hyperlink" Target="https://www.nature.com/articles/s41598-026-55568-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pageSetUpPr fitToPage="1"/>
  </sheetPr>
  <dimension ref="A1:Q60"/>
  <sheetViews>
    <sheetView showGridLines="0" topLeftCell="A37" zoomScaleNormal="100" workbookViewId="0">
      <selection activeCell="G51" sqref="G51"/>
    </sheetView>
  </sheetViews>
  <sheetFormatPr baseColWidth="10" defaultColWidth="8.6640625" defaultRowHeight="15" x14ac:dyDescent="0.2"/>
  <cols>
    <col min="1" max="1" width="2" customWidth="1"/>
    <col min="2" max="2" width="52" customWidth="1"/>
    <col min="3" max="3" width="14" customWidth="1"/>
    <col min="4" max="4" width="22" customWidth="1"/>
    <col min="5" max="5" width="2" customWidth="1"/>
    <col min="6" max="15" width="12" customWidth="1"/>
    <col min="16" max="16" width="44" customWidth="1"/>
    <col min="17" max="17" width="9" customWidth="1"/>
  </cols>
  <sheetData>
    <row r="1" spans="1:17" ht="33.75" customHeight="1" x14ac:dyDescent="0.2">
      <c r="A1" s="7" t="s">
        <v>0</v>
      </c>
      <c r="B1" s="7"/>
      <c r="C1" s="7"/>
      <c r="D1" s="7"/>
      <c r="E1" s="7"/>
      <c r="F1" s="7"/>
      <c r="G1" s="7"/>
      <c r="H1" s="7"/>
    </row>
    <row r="2" spans="1:17" ht="19.5" customHeight="1" x14ac:dyDescent="0.2">
      <c r="A2" s="6" t="s">
        <v>1</v>
      </c>
      <c r="B2" s="6"/>
      <c r="C2" s="6"/>
      <c r="D2" s="6"/>
      <c r="E2" s="6"/>
      <c r="F2" s="6"/>
      <c r="G2" s="6"/>
      <c r="H2" s="6"/>
    </row>
    <row r="4" spans="1:17" x14ac:dyDescent="0.2">
      <c r="B4" s="8" t="s">
        <v>2</v>
      </c>
      <c r="C4" s="9" t="s">
        <v>3</v>
      </c>
    </row>
    <row r="5" spans="1:17" x14ac:dyDescent="0.2">
      <c r="B5" s="8" t="s">
        <v>4</v>
      </c>
      <c r="C5" s="10">
        <v>46287</v>
      </c>
    </row>
    <row r="6" spans="1:17" x14ac:dyDescent="0.2">
      <c r="B6" s="8" t="s">
        <v>5</v>
      </c>
      <c r="C6" s="9" t="s">
        <v>6</v>
      </c>
    </row>
    <row r="7" spans="1:17" x14ac:dyDescent="0.2">
      <c r="B7" s="8" t="s">
        <v>7</v>
      </c>
      <c r="C7" s="9" t="s">
        <v>8</v>
      </c>
    </row>
    <row r="9" spans="1:17" ht="21.75" customHeight="1" x14ac:dyDescent="0.2">
      <c r="B9" s="5" t="s">
        <v>9</v>
      </c>
      <c r="C9" s="5"/>
      <c r="D9" s="5"/>
      <c r="P9" s="11" t="s">
        <v>10</v>
      </c>
    </row>
    <row r="10" spans="1:17" ht="36" customHeight="1" x14ac:dyDescent="0.2">
      <c r="B10" s="12" t="s">
        <v>11</v>
      </c>
      <c r="C10" s="12" t="s">
        <v>12</v>
      </c>
      <c r="D10" s="12" t="s">
        <v>13</v>
      </c>
      <c r="P10" s="13" t="s">
        <v>14</v>
      </c>
      <c r="Q10" s="13" t="s">
        <v>15</v>
      </c>
    </row>
    <row r="11" spans="1:17" x14ac:dyDescent="0.2">
      <c r="B11" s="4" t="s">
        <v>16</v>
      </c>
      <c r="C11" s="4"/>
      <c r="D11" s="4"/>
      <c r="P11" s="13" t="s">
        <v>17</v>
      </c>
      <c r="Q11" s="13">
        <f>'Producción científica'!C17</f>
        <v>4</v>
      </c>
    </row>
    <row r="12" spans="1:17" x14ac:dyDescent="0.2">
      <c r="B12" s="14" t="s">
        <v>18</v>
      </c>
      <c r="C12" s="15">
        <f>COUNTA('Proyectos 2026'!B5:B14)</f>
        <v>10</v>
      </c>
      <c r="D12" s="16" t="s">
        <v>19</v>
      </c>
      <c r="P12" s="13" t="s">
        <v>20</v>
      </c>
      <c r="Q12" s="13">
        <f>'Producción científica'!C18</f>
        <v>1</v>
      </c>
    </row>
    <row r="13" spans="1:17" x14ac:dyDescent="0.2">
      <c r="B13" s="14" t="s">
        <v>21</v>
      </c>
      <c r="C13" s="15">
        <f>COUNTIF('Proyectos 2026'!Q5:Q14,"En ejecución")</f>
        <v>3</v>
      </c>
      <c r="D13" s="16" t="s">
        <v>19</v>
      </c>
      <c r="P13" s="13" t="s">
        <v>22</v>
      </c>
      <c r="Q13" s="13">
        <f>'Producción científica'!C19</f>
        <v>3</v>
      </c>
    </row>
    <row r="14" spans="1:17" x14ac:dyDescent="0.2">
      <c r="B14" s="14" t="s">
        <v>23</v>
      </c>
      <c r="C14" s="15">
        <f>COUNTIF('Proyectos 2026'!Q5:Q14,"Finalizado*")</f>
        <v>4</v>
      </c>
      <c r="D14" s="16" t="s">
        <v>19</v>
      </c>
      <c r="P14" s="13"/>
      <c r="Q14" s="13"/>
    </row>
    <row r="15" spans="1:17" x14ac:dyDescent="0.2">
      <c r="B15" s="14" t="s">
        <v>24</v>
      </c>
      <c r="C15" s="15">
        <f>C12-C13-C14</f>
        <v>3</v>
      </c>
      <c r="D15" s="16" t="s">
        <v>19</v>
      </c>
      <c r="P15" s="13" t="s">
        <v>25</v>
      </c>
      <c r="Q15" s="13" t="s">
        <v>26</v>
      </c>
    </row>
    <row r="16" spans="1:17" x14ac:dyDescent="0.2">
      <c r="B16" s="14" t="s">
        <v>27</v>
      </c>
      <c r="C16" s="15">
        <f>COUNTIF('Proyectos 2026'!N5:N14,"Sí")</f>
        <v>3</v>
      </c>
      <c r="D16" s="16" t="s">
        <v>19</v>
      </c>
      <c r="P16" s="13" t="s">
        <v>28</v>
      </c>
      <c r="Q16" s="13">
        <f>'Tesis 2026'!C20</f>
        <v>5</v>
      </c>
    </row>
    <row r="17" spans="2:17" x14ac:dyDescent="0.2">
      <c r="B17" s="14" t="s">
        <v>29</v>
      </c>
      <c r="C17" s="15">
        <f>COUNTIF('Proyectos 2026'!I5:I14,"&lt;&gt;Sin financiamiento")</f>
        <v>3</v>
      </c>
      <c r="D17" s="16" t="s">
        <v>19</v>
      </c>
      <c r="P17" s="13" t="s">
        <v>30</v>
      </c>
      <c r="Q17" s="13">
        <f>'Tesis 2026'!C21</f>
        <v>3</v>
      </c>
    </row>
    <row r="18" spans="2:17" x14ac:dyDescent="0.2">
      <c r="B18" s="14" t="s">
        <v>31</v>
      </c>
      <c r="C18" s="15">
        <f>COUNTIF('Proyectos 2026'!E5:E14,"*;*")+COUNTIF('Proyectos 2026'!C5:C14,"*España*")</f>
        <v>5</v>
      </c>
      <c r="D18" s="16" t="s">
        <v>19</v>
      </c>
      <c r="P18" s="13" t="s">
        <v>32</v>
      </c>
      <c r="Q18" s="13">
        <f>'Tesis 2026'!C22</f>
        <v>2</v>
      </c>
    </row>
    <row r="19" spans="2:17" x14ac:dyDescent="0.2">
      <c r="B19" s="4" t="s">
        <v>33</v>
      </c>
      <c r="C19" s="4"/>
      <c r="D19" s="4"/>
      <c r="P19" s="13" t="s">
        <v>34</v>
      </c>
      <c r="Q19" s="13">
        <f>'Tesis 2026'!C23</f>
        <v>1</v>
      </c>
    </row>
    <row r="20" spans="2:17" x14ac:dyDescent="0.2">
      <c r="B20" s="14" t="s">
        <v>35</v>
      </c>
      <c r="C20" s="15">
        <f>COUNTIF('Producción científica'!G5:G12,"Publicado")</f>
        <v>4</v>
      </c>
      <c r="D20" s="16" t="s">
        <v>36</v>
      </c>
      <c r="P20" s="13"/>
      <c r="Q20" s="13"/>
    </row>
    <row r="21" spans="2:17" x14ac:dyDescent="0.2">
      <c r="B21" s="14" t="s">
        <v>37</v>
      </c>
      <c r="C21" s="15">
        <f>COUNTIF('Producción científica'!G5:G12,"Aceptado")</f>
        <v>1</v>
      </c>
      <c r="D21" s="16" t="s">
        <v>36</v>
      </c>
      <c r="P21" s="13" t="s">
        <v>38</v>
      </c>
      <c r="Q21" s="13" t="s">
        <v>39</v>
      </c>
    </row>
    <row r="22" spans="2:17" x14ac:dyDescent="0.2">
      <c r="B22" s="14" t="s">
        <v>40</v>
      </c>
      <c r="C22" s="15">
        <f>COUNTIF('Producción científica'!G5:G12,"Sometido")</f>
        <v>3</v>
      </c>
      <c r="D22" s="16" t="s">
        <v>36</v>
      </c>
      <c r="P22" s="13" t="str">
        <f>'Líneas UCSUR'!C29</f>
        <v>Neurociencias y salud mental</v>
      </c>
      <c r="Q22" s="13">
        <f>'Líneas UCSUR'!H29</f>
        <v>9</v>
      </c>
    </row>
    <row r="23" spans="2:17" x14ac:dyDescent="0.2">
      <c r="B23" s="4" t="s">
        <v>41</v>
      </c>
      <c r="C23" s="4"/>
      <c r="D23" s="4"/>
      <c r="P23" s="13" t="str">
        <f>'Líneas UCSUR'!C28</f>
        <v>Microbiología, infecciosas y one health</v>
      </c>
      <c r="Q23" s="13">
        <f>'Líneas UCSUR'!H28</f>
        <v>7</v>
      </c>
    </row>
    <row r="24" spans="2:17" x14ac:dyDescent="0.2">
      <c r="B24" s="14" t="s">
        <v>42</v>
      </c>
      <c r="C24" s="15">
        <f>COUNTA('Tesis 2026'!B5:B15)</f>
        <v>11</v>
      </c>
      <c r="D24" s="16" t="s">
        <v>43</v>
      </c>
      <c r="P24" s="13" t="str">
        <f>'Líneas UCSUR'!C27</f>
        <v>Inmunidad, cáncer y enfermedades crónicas</v>
      </c>
      <c r="Q24" s="13">
        <f>'Líneas UCSUR'!H27</f>
        <v>5</v>
      </c>
    </row>
    <row r="25" spans="2:17" x14ac:dyDescent="0.2">
      <c r="B25" s="14" t="s">
        <v>44</v>
      </c>
      <c r="C25" s="15">
        <f>COUNTIF('Tesis 2026'!F5:F15,"Posgrado")</f>
        <v>8</v>
      </c>
      <c r="D25" s="16" t="s">
        <v>43</v>
      </c>
      <c r="P25" s="13" t="str">
        <f>'Líneas UCSUR'!C33</f>
        <v>Salud pública, salud ocupacional y gestión en salud</v>
      </c>
      <c r="Q25" s="13">
        <f>'Líneas UCSUR'!H33</f>
        <v>4</v>
      </c>
    </row>
    <row r="26" spans="2:17" x14ac:dyDescent="0.2">
      <c r="B26" s="14" t="s">
        <v>45</v>
      </c>
      <c r="C26" s="15">
        <f>COUNTIF('Tesis 2026'!F5:F15,"Pregrado")</f>
        <v>3</v>
      </c>
      <c r="D26" s="16" t="s">
        <v>43</v>
      </c>
      <c r="P26" s="13" t="str">
        <f>'Líneas UCSUR'!C30</f>
        <v>Nutrición, bienestar y actividad física</v>
      </c>
      <c r="Q26" s="13">
        <f>'Líneas UCSUR'!H30</f>
        <v>2</v>
      </c>
    </row>
    <row r="27" spans="2:17" x14ac:dyDescent="0.2">
      <c r="B27" s="14" t="s">
        <v>46</v>
      </c>
      <c r="C27" s="15">
        <f>COUNTIF('Tesis 2026'!H5:H15,"Registrada")</f>
        <v>9</v>
      </c>
      <c r="D27" s="16" t="s">
        <v>43</v>
      </c>
      <c r="P27" s="13" t="str">
        <f>'Líneas UCSUR'!C32</f>
        <v>Salud basada en evidencias</v>
      </c>
      <c r="Q27" s="13">
        <f>'Líneas UCSUR'!H32</f>
        <v>1</v>
      </c>
    </row>
    <row r="28" spans="2:17" x14ac:dyDescent="0.2">
      <c r="B28" s="14" t="s">
        <v>47</v>
      </c>
      <c r="C28" s="15">
        <f>COUNTIF('Tesis 2026'!H5:H15,"Pendiente de registro")</f>
        <v>2</v>
      </c>
      <c r="D28" s="16" t="s">
        <v>43</v>
      </c>
      <c r="P28" s="13" t="str">
        <f>'Líneas UCSUR'!C26</f>
        <v>Estomatología y salud bucodental</v>
      </c>
      <c r="Q28" s="13">
        <f>'Líneas UCSUR'!H26</f>
        <v>1</v>
      </c>
    </row>
    <row r="29" spans="2:17" x14ac:dyDescent="0.2">
      <c r="B29" s="14" t="s">
        <v>48</v>
      </c>
      <c r="C29" s="15">
        <f>COUNTIF('Tesis 2026'!I5:I15,"&gt;=2")</f>
        <v>3</v>
      </c>
      <c r="D29" s="16" t="s">
        <v>43</v>
      </c>
      <c r="P29" s="13" t="str">
        <f>'Líneas UCSUR'!C40</f>
        <v>Innovación educativa y simulación en salud</v>
      </c>
      <c r="Q29" s="13">
        <f>'Líneas UCSUR'!H40</f>
        <v>1</v>
      </c>
    </row>
    <row r="30" spans="2:17" x14ac:dyDescent="0.2">
      <c r="B30" s="4" t="s">
        <v>49</v>
      </c>
      <c r="C30" s="4"/>
      <c r="D30" s="4"/>
    </row>
    <row r="31" spans="2:17" x14ac:dyDescent="0.2">
      <c r="B31" s="14" t="s">
        <v>50</v>
      </c>
      <c r="C31" s="15">
        <f>COUNTA(Postulaciones!C5:C5)</f>
        <v>1</v>
      </c>
      <c r="D31" s="16" t="s">
        <v>51</v>
      </c>
    </row>
    <row r="32" spans="2:17" x14ac:dyDescent="0.2">
      <c r="B32" s="14" t="s">
        <v>52</v>
      </c>
      <c r="C32" s="15">
        <f>COUNTIF('Proyectos 2026'!H5:H14,"*Cabieses*")</f>
        <v>2</v>
      </c>
      <c r="D32" s="16" t="s">
        <v>51</v>
      </c>
    </row>
    <row r="33" spans="2:4" x14ac:dyDescent="0.2">
      <c r="B33" s="14" t="s">
        <v>53</v>
      </c>
      <c r="C33" s="15">
        <f>'Difusión CTI'!C16</f>
        <v>0</v>
      </c>
      <c r="D33" s="16" t="s">
        <v>54</v>
      </c>
    </row>
    <row r="34" spans="2:4" x14ac:dyDescent="0.2">
      <c r="B34" s="4" t="s">
        <v>55</v>
      </c>
      <c r="C34" s="4"/>
      <c r="D34" s="4"/>
    </row>
    <row r="35" spans="2:4" x14ac:dyDescent="0.2">
      <c r="B35" s="14" t="s">
        <v>56</v>
      </c>
      <c r="C35" s="15">
        <f>Equipo!C34</f>
        <v>28</v>
      </c>
      <c r="D35" s="16" t="s">
        <v>57</v>
      </c>
    </row>
    <row r="36" spans="2:4" x14ac:dyDescent="0.2">
      <c r="B36" s="14" t="s">
        <v>58</v>
      </c>
      <c r="C36" s="15">
        <f>Equipo!C35</f>
        <v>11</v>
      </c>
      <c r="D36" s="16" t="s">
        <v>57</v>
      </c>
    </row>
    <row r="37" spans="2:4" x14ac:dyDescent="0.2">
      <c r="B37" s="14" t="s">
        <v>59</v>
      </c>
      <c r="C37" s="15">
        <f>COUNTIF('Líneas UCSUR'!I5:I41,"Sí")</f>
        <v>8</v>
      </c>
      <c r="D37" s="16" t="s">
        <v>60</v>
      </c>
    </row>
    <row r="38" spans="2:4" x14ac:dyDescent="0.2">
      <c r="B38" s="14" t="s">
        <v>61</v>
      </c>
      <c r="C38" s="15">
        <f>COUNTIF('Líneas UCSUR'!E47:E51,"&gt;0")</f>
        <v>2</v>
      </c>
      <c r="D38" s="16" t="s">
        <v>60</v>
      </c>
    </row>
    <row r="39" spans="2:4" x14ac:dyDescent="0.2">
      <c r="B39" s="14" t="s">
        <v>62</v>
      </c>
      <c r="C39" s="15">
        <f>COUNTIF('Pendientes y acciones'!G5:G40,"Alta")</f>
        <v>5</v>
      </c>
      <c r="D39" s="16" t="s">
        <v>63</v>
      </c>
    </row>
    <row r="41" spans="2:4" ht="21.75" customHeight="1" x14ac:dyDescent="0.2">
      <c r="B41" s="5" t="s">
        <v>64</v>
      </c>
      <c r="C41" s="5"/>
      <c r="D41" s="5"/>
    </row>
    <row r="42" spans="2:4" ht="30" customHeight="1" x14ac:dyDescent="0.2">
      <c r="B42" s="3" t="s">
        <v>65</v>
      </c>
      <c r="C42" s="3"/>
      <c r="D42" s="3"/>
    </row>
    <row r="43" spans="2:4" ht="30" customHeight="1" x14ac:dyDescent="0.2">
      <c r="B43" s="3" t="s">
        <v>66</v>
      </c>
      <c r="C43" s="3"/>
      <c r="D43" s="3"/>
    </row>
    <row r="44" spans="2:4" ht="30" customHeight="1" x14ac:dyDescent="0.2">
      <c r="B44" s="3" t="s">
        <v>67</v>
      </c>
      <c r="C44" s="3"/>
      <c r="D44" s="3"/>
    </row>
    <row r="45" spans="2:4" ht="30" customHeight="1" x14ac:dyDescent="0.2">
      <c r="B45" s="3" t="s">
        <v>68</v>
      </c>
      <c r="C45" s="3"/>
      <c r="D45" s="3"/>
    </row>
    <row r="46" spans="2:4" ht="30" customHeight="1" x14ac:dyDescent="0.2">
      <c r="B46" s="3" t="s">
        <v>69</v>
      </c>
      <c r="C46" s="3"/>
      <c r="D46" s="3"/>
    </row>
    <row r="47" spans="2:4" ht="30" customHeight="1" x14ac:dyDescent="0.2">
      <c r="B47" s="3" t="s">
        <v>70</v>
      </c>
      <c r="C47" s="3"/>
      <c r="D47" s="3"/>
    </row>
    <row r="49" spans="2:4" ht="21.75" customHeight="1" x14ac:dyDescent="0.2">
      <c r="B49" s="5" t="s">
        <v>71</v>
      </c>
      <c r="C49" s="5"/>
      <c r="D49" s="5"/>
    </row>
    <row r="50" spans="2:4" ht="27.75" customHeight="1" x14ac:dyDescent="0.2">
      <c r="B50" s="3" t="s">
        <v>72</v>
      </c>
      <c r="C50" s="3"/>
      <c r="D50" s="3"/>
    </row>
    <row r="51" spans="2:4" ht="27.75" customHeight="1" x14ac:dyDescent="0.2">
      <c r="B51" s="3" t="s">
        <v>73</v>
      </c>
      <c r="C51" s="3"/>
      <c r="D51" s="3"/>
    </row>
    <row r="53" spans="2:4" ht="21.75" customHeight="1" x14ac:dyDescent="0.2">
      <c r="B53" s="5" t="s">
        <v>74</v>
      </c>
      <c r="C53" s="5"/>
      <c r="D53" s="5"/>
    </row>
    <row r="54" spans="2:4" ht="36" customHeight="1" x14ac:dyDescent="0.2">
      <c r="B54" s="12" t="s">
        <v>75</v>
      </c>
      <c r="C54" s="12" t="s">
        <v>39</v>
      </c>
      <c r="D54" s="12" t="s">
        <v>76</v>
      </c>
    </row>
    <row r="55" spans="2:4" x14ac:dyDescent="0.2">
      <c r="B55" s="14" t="s">
        <v>77</v>
      </c>
      <c r="C55" s="17">
        <f>COUNTA('Líneas UCSUR'!C5:C41)</f>
        <v>37</v>
      </c>
      <c r="D55" s="18" t="s">
        <v>60</v>
      </c>
    </row>
    <row r="56" spans="2:4" x14ac:dyDescent="0.2">
      <c r="B56" s="14" t="s">
        <v>78</v>
      </c>
      <c r="C56" s="17">
        <f>COUNTA('Proyectos 2026'!B5:B14)</f>
        <v>10</v>
      </c>
      <c r="D56" s="18" t="s">
        <v>19</v>
      </c>
    </row>
    <row r="57" spans="2:4" x14ac:dyDescent="0.2">
      <c r="B57" s="14" t="s">
        <v>79</v>
      </c>
      <c r="C57" s="17">
        <f>COUNTIF('Producción científica'!K5:K12,"ARTICULOS*")</f>
        <v>4</v>
      </c>
      <c r="D57" s="18" t="s">
        <v>36</v>
      </c>
    </row>
    <row r="58" spans="2:4" x14ac:dyDescent="0.2">
      <c r="B58" s="14" t="s">
        <v>80</v>
      </c>
      <c r="C58" s="17">
        <f>COUNTA('Tesis 2026'!B5:B15)</f>
        <v>11</v>
      </c>
      <c r="D58" s="18" t="s">
        <v>43</v>
      </c>
    </row>
    <row r="59" spans="2:4" x14ac:dyDescent="0.2">
      <c r="B59" s="14" t="s">
        <v>81</v>
      </c>
      <c r="C59" s="17">
        <f>COUNTA(Postulaciones!C5:C5)</f>
        <v>1</v>
      </c>
      <c r="D59" s="18" t="s">
        <v>51</v>
      </c>
    </row>
    <row r="60" spans="2:4" x14ac:dyDescent="0.2">
      <c r="B60" s="14" t="s">
        <v>82</v>
      </c>
      <c r="C60" s="17">
        <f>COUNTA('Difusión CTI'!B5:B10)</f>
        <v>0</v>
      </c>
      <c r="D60" s="18" t="s">
        <v>54</v>
      </c>
    </row>
  </sheetData>
  <mergeCells count="19">
    <mergeCell ref="B49:D49"/>
    <mergeCell ref="B50:D50"/>
    <mergeCell ref="B51:D51"/>
    <mergeCell ref="B53:D53"/>
    <mergeCell ref="B43:D43"/>
    <mergeCell ref="B44:D44"/>
    <mergeCell ref="B45:D45"/>
    <mergeCell ref="B46:D46"/>
    <mergeCell ref="B47:D47"/>
    <mergeCell ref="B23:D23"/>
    <mergeCell ref="B30:D30"/>
    <mergeCell ref="B34:D34"/>
    <mergeCell ref="B41:D41"/>
    <mergeCell ref="B42:D42"/>
    <mergeCell ref="A1:H1"/>
    <mergeCell ref="A2:H2"/>
    <mergeCell ref="B9:D9"/>
    <mergeCell ref="B11:D11"/>
    <mergeCell ref="B19:D19"/>
  </mergeCells>
  <hyperlinks>
    <hyperlink ref="D12" r:id="rId1" location="'Proyectos%202026'!A1" xr:uid="{00000000-0004-0000-0000-000000000000}"/>
    <hyperlink ref="D13" r:id="rId2" location="'Proyectos%202026'!A1" xr:uid="{00000000-0004-0000-0000-000001000000}"/>
    <hyperlink ref="D14" r:id="rId3" location="'Proyectos%202026'!A1" xr:uid="{00000000-0004-0000-0000-000002000000}"/>
    <hyperlink ref="D15" r:id="rId4" location="'Proyectos%202026'!A1" xr:uid="{00000000-0004-0000-0000-000003000000}"/>
    <hyperlink ref="D16" r:id="rId5" location="'Proyectos%202026'!A1" xr:uid="{00000000-0004-0000-0000-000004000000}"/>
    <hyperlink ref="D17" r:id="rId6" location="'Proyectos%202026'!A1" xr:uid="{00000000-0004-0000-0000-000005000000}"/>
    <hyperlink ref="D18" r:id="rId7" location="'Proyectos%202026'!A1" xr:uid="{00000000-0004-0000-0000-000006000000}"/>
    <hyperlink ref="D20" r:id="rId8" location="'Producción%20científica'!A1" xr:uid="{00000000-0004-0000-0000-000007000000}"/>
    <hyperlink ref="D21" r:id="rId9" location="'Producción%20científica'!A1" xr:uid="{00000000-0004-0000-0000-000008000000}"/>
    <hyperlink ref="D22" r:id="rId10" location="'Producción%20científica'!A1" xr:uid="{00000000-0004-0000-0000-000009000000}"/>
    <hyperlink ref="D24" r:id="rId11" location="'Tesis%202026'!A1" xr:uid="{00000000-0004-0000-0000-00000A000000}"/>
    <hyperlink ref="D25" r:id="rId12" location="'Tesis%202026'!A1" xr:uid="{00000000-0004-0000-0000-00000B000000}"/>
    <hyperlink ref="D26" r:id="rId13" location="'Tesis%202026'!A1" xr:uid="{00000000-0004-0000-0000-00000C000000}"/>
    <hyperlink ref="D27" r:id="rId14" location="'Tesis%202026'!A1" xr:uid="{00000000-0004-0000-0000-00000D000000}"/>
    <hyperlink ref="D28" r:id="rId15" location="'Tesis%202026'!A1" xr:uid="{00000000-0004-0000-0000-00000E000000}"/>
    <hyperlink ref="D29" r:id="rId16" location="'Tesis%202026'!A1" xr:uid="{00000000-0004-0000-0000-00000F000000}"/>
    <hyperlink ref="D31" r:id="rId17" location="'Postulaciones'!A1" xr:uid="{00000000-0004-0000-0000-000010000000}"/>
    <hyperlink ref="D32" r:id="rId18" location="'Postulaciones'!A1" xr:uid="{00000000-0004-0000-0000-000011000000}"/>
    <hyperlink ref="D33" r:id="rId19" location="'Difusión%20CTI'!A1" xr:uid="{00000000-0004-0000-0000-000012000000}"/>
    <hyperlink ref="D35" r:id="rId20" location="'Equipo'!A1" xr:uid="{00000000-0004-0000-0000-000013000000}"/>
    <hyperlink ref="D36" r:id="rId21" location="'Equipo'!A1" xr:uid="{00000000-0004-0000-0000-000014000000}"/>
    <hyperlink ref="D37" r:id="rId22" location="'Líneas%20UCSUR'!A1" xr:uid="{00000000-0004-0000-0000-000015000000}"/>
    <hyperlink ref="D38" r:id="rId23" location="'Líneas%20UCSUR'!A1" xr:uid="{00000000-0004-0000-0000-000016000000}"/>
    <hyperlink ref="D39" r:id="rId24" location="'Pendientes%20y%20acciones'!A1" xr:uid="{00000000-0004-0000-0000-000017000000}"/>
    <hyperlink ref="D55" r:id="rId25" location="'Líneas%20UCSUR'!A1" xr:uid="{00000000-0004-0000-0000-000018000000}"/>
    <hyperlink ref="D56" r:id="rId26" location="'Proyectos%202026'!A1" xr:uid="{00000000-0004-0000-0000-000019000000}"/>
    <hyperlink ref="D57" r:id="rId27" location="'Producción%20científica'!A1" xr:uid="{00000000-0004-0000-0000-00001A000000}"/>
    <hyperlink ref="D58" r:id="rId28" location="'Tesis%202026'!A1" xr:uid="{00000000-0004-0000-0000-00001B000000}"/>
    <hyperlink ref="D59" r:id="rId29" location="'Postulaciones'!A1" xr:uid="{00000000-0004-0000-0000-00001C000000}"/>
    <hyperlink ref="D60" r:id="rId30" location="'Difusión%20CTI'!A1" xr:uid="{00000000-0004-0000-0000-00001D000000}"/>
  </hyperlinks>
  <pageMargins left="0.75" right="0.75" top="1" bottom="1" header="0.511811023622047" footer="0.511811023622047"/>
  <pageSetup fitToHeight="0" orientation="landscape" horizontalDpi="300" verticalDpi="300"/>
  <drawing r:id="rId31"/>
  <legacy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7A"/>
    <pageSetUpPr fitToPage="1"/>
  </sheetPr>
  <dimension ref="A1:I53"/>
  <sheetViews>
    <sheetView tabSelected="1" zoomScaleNormal="100" workbookViewId="0">
      <pane xSplit="3" ySplit="4" topLeftCell="D32" activePane="bottomRight" state="frozen"/>
      <selection pane="topRight" activeCell="D1" sqref="D1"/>
      <selection pane="bottomLeft" activeCell="A5" sqref="A5"/>
      <selection pane="bottomRight" activeCell="B53" sqref="B53"/>
    </sheetView>
  </sheetViews>
  <sheetFormatPr baseColWidth="10" defaultColWidth="8.6640625" defaultRowHeight="15" x14ac:dyDescent="0.2"/>
  <cols>
    <col min="1" max="1" width="5" customWidth="1"/>
    <col min="2" max="2" width="24" customWidth="1"/>
    <col min="3" max="3" width="50" customWidth="1"/>
    <col min="4" max="4" width="11" customWidth="1"/>
    <col min="5" max="5" width="13" customWidth="1"/>
    <col min="6" max="6" width="9" customWidth="1"/>
    <col min="7" max="7" width="13" customWidth="1"/>
    <col min="8" max="8" width="12" customWidth="1"/>
    <col min="9" max="9" width="16" customWidth="1"/>
  </cols>
  <sheetData>
    <row r="1" spans="1:9" ht="27.75" customHeight="1" x14ac:dyDescent="0.2">
      <c r="A1" s="2" t="s">
        <v>83</v>
      </c>
      <c r="B1" s="2"/>
      <c r="C1" s="2"/>
      <c r="D1" s="2"/>
      <c r="E1" s="2"/>
      <c r="F1" s="2"/>
      <c r="G1" s="2"/>
      <c r="H1" s="2"/>
      <c r="I1" s="2"/>
    </row>
    <row r="2" spans="1:9" ht="30" customHeight="1" x14ac:dyDescent="0.2">
      <c r="A2" s="1" t="s">
        <v>84</v>
      </c>
      <c r="B2" s="1"/>
      <c r="C2" s="1"/>
      <c r="D2" s="1"/>
      <c r="E2" s="1"/>
      <c r="F2" s="1"/>
      <c r="G2" s="1"/>
      <c r="H2" s="1"/>
      <c r="I2" s="1"/>
    </row>
    <row r="4" spans="1:9" ht="36" customHeight="1" x14ac:dyDescent="0.2">
      <c r="A4" s="19" t="s">
        <v>15</v>
      </c>
      <c r="B4" s="19" t="s">
        <v>85</v>
      </c>
      <c r="C4" s="19" t="s">
        <v>86</v>
      </c>
      <c r="D4" s="19" t="s">
        <v>19</v>
      </c>
      <c r="E4" s="19" t="s">
        <v>87</v>
      </c>
      <c r="F4" s="19" t="s">
        <v>26</v>
      </c>
      <c r="G4" s="19" t="s">
        <v>51</v>
      </c>
      <c r="H4" s="19" t="s">
        <v>88</v>
      </c>
      <c r="I4" s="19" t="s">
        <v>89</v>
      </c>
    </row>
    <row r="5" spans="1:9" x14ac:dyDescent="0.2">
      <c r="A5" s="17">
        <v>1</v>
      </c>
      <c r="B5" s="14" t="s">
        <v>90</v>
      </c>
      <c r="C5" s="14" t="s">
        <v>91</v>
      </c>
      <c r="D5" s="17">
        <f>COUNTIF('Proyectos 2026'!$F$5:$F$14,C5)</f>
        <v>0</v>
      </c>
      <c r="E5" s="17">
        <f>COUNTIF('Producción científica'!$I$5:$I$12,C5)</f>
        <v>0</v>
      </c>
      <c r="F5" s="17">
        <f>COUNTIF('Tesis 2026'!$L$5:$L$15,C5)</f>
        <v>0</v>
      </c>
      <c r="G5" s="17">
        <f>COUNTIF(Postulaciones!$I$5:$I$5,C5)</f>
        <v>0</v>
      </c>
      <c r="H5" s="17">
        <f t="shared" ref="H5:H41" si="0">SUM(D5:G5)</f>
        <v>0</v>
      </c>
      <c r="I5" s="17" t="str">
        <f t="shared" ref="I5:I41" si="1">IF(H5&gt;0,"Sí","—")</f>
        <v>—</v>
      </c>
    </row>
    <row r="6" spans="1:9" x14ac:dyDescent="0.2">
      <c r="A6" s="17">
        <v>2</v>
      </c>
      <c r="B6" s="14" t="s">
        <v>90</v>
      </c>
      <c r="C6" s="14" t="s">
        <v>92</v>
      </c>
      <c r="D6" s="17">
        <f>COUNTIF('Proyectos 2026'!$F$5:$F$14,C6)</f>
        <v>0</v>
      </c>
      <c r="E6" s="17">
        <f>COUNTIF('Producción científica'!$I$5:$I$12,C6)</f>
        <v>0</v>
      </c>
      <c r="F6" s="17">
        <f>COUNTIF('Tesis 2026'!$L$5:$L$15,C6)</f>
        <v>0</v>
      </c>
      <c r="G6" s="17">
        <f>COUNTIF(Postulaciones!$I$5:$I$5,C6)</f>
        <v>0</v>
      </c>
      <c r="H6" s="17">
        <f t="shared" si="0"/>
        <v>0</v>
      </c>
      <c r="I6" s="17" t="str">
        <f t="shared" si="1"/>
        <v>—</v>
      </c>
    </row>
    <row r="7" spans="1:9" x14ac:dyDescent="0.2">
      <c r="A7" s="17">
        <v>3</v>
      </c>
      <c r="B7" s="14" t="s">
        <v>90</v>
      </c>
      <c r="C7" s="14" t="s">
        <v>93</v>
      </c>
      <c r="D7" s="17">
        <f>COUNTIF('Proyectos 2026'!$F$5:$F$14,C7)</f>
        <v>0</v>
      </c>
      <c r="E7" s="17">
        <f>COUNTIF('Producción científica'!$I$5:$I$12,C7)</f>
        <v>0</v>
      </c>
      <c r="F7" s="17">
        <f>COUNTIF('Tesis 2026'!$L$5:$L$15,C7)</f>
        <v>0</v>
      </c>
      <c r="G7" s="17">
        <f>COUNTIF(Postulaciones!$I$5:$I$5,C7)</f>
        <v>0</v>
      </c>
      <c r="H7" s="17">
        <f t="shared" si="0"/>
        <v>0</v>
      </c>
      <c r="I7" s="17" t="str">
        <f t="shared" si="1"/>
        <v>—</v>
      </c>
    </row>
    <row r="8" spans="1:9" x14ac:dyDescent="0.2">
      <c r="A8" s="17">
        <v>4</v>
      </c>
      <c r="B8" s="14" t="s">
        <v>90</v>
      </c>
      <c r="C8" s="14" t="s">
        <v>94</v>
      </c>
      <c r="D8" s="17">
        <f>COUNTIF('Proyectos 2026'!$F$5:$F$14,C8)</f>
        <v>0</v>
      </c>
      <c r="E8" s="17">
        <f>COUNTIF('Producción científica'!$I$5:$I$12,C8)</f>
        <v>0</v>
      </c>
      <c r="F8" s="17">
        <f>COUNTIF('Tesis 2026'!$L$5:$L$15,C8)</f>
        <v>0</v>
      </c>
      <c r="G8" s="17">
        <f>COUNTIF(Postulaciones!$I$5:$I$5,C8)</f>
        <v>0</v>
      </c>
      <c r="H8" s="17">
        <f t="shared" si="0"/>
        <v>0</v>
      </c>
      <c r="I8" s="17" t="str">
        <f t="shared" si="1"/>
        <v>—</v>
      </c>
    </row>
    <row r="9" spans="1:9" x14ac:dyDescent="0.2">
      <c r="A9" s="17">
        <v>5</v>
      </c>
      <c r="B9" s="14" t="s">
        <v>90</v>
      </c>
      <c r="C9" s="14" t="s">
        <v>95</v>
      </c>
      <c r="D9" s="17">
        <f>COUNTIF('Proyectos 2026'!$F$5:$F$14,C9)</f>
        <v>0</v>
      </c>
      <c r="E9" s="17">
        <f>COUNTIF('Producción científica'!$I$5:$I$12,C9)</f>
        <v>0</v>
      </c>
      <c r="F9" s="17">
        <f>COUNTIF('Tesis 2026'!$L$5:$L$15,C9)</f>
        <v>0</v>
      </c>
      <c r="G9" s="17">
        <f>COUNTIF(Postulaciones!$I$5:$I$5,C9)</f>
        <v>0</v>
      </c>
      <c r="H9" s="17">
        <f t="shared" si="0"/>
        <v>0</v>
      </c>
      <c r="I9" s="17" t="str">
        <f t="shared" si="1"/>
        <v>—</v>
      </c>
    </row>
    <row r="10" spans="1:9" x14ac:dyDescent="0.2">
      <c r="A10" s="17">
        <v>6</v>
      </c>
      <c r="B10" s="14" t="s">
        <v>90</v>
      </c>
      <c r="C10" s="14" t="s">
        <v>96</v>
      </c>
      <c r="D10" s="17">
        <f>COUNTIF('Proyectos 2026'!$F$5:$F$14,C10)</f>
        <v>0</v>
      </c>
      <c r="E10" s="17">
        <f>COUNTIF('Producción científica'!$I$5:$I$12,C10)</f>
        <v>0</v>
      </c>
      <c r="F10" s="17">
        <f>COUNTIF('Tesis 2026'!$L$5:$L$15,C10)</f>
        <v>0</v>
      </c>
      <c r="G10" s="17">
        <f>COUNTIF(Postulaciones!$I$5:$I$5,C10)</f>
        <v>0</v>
      </c>
      <c r="H10" s="17">
        <f t="shared" si="0"/>
        <v>0</v>
      </c>
      <c r="I10" s="17" t="str">
        <f t="shared" si="1"/>
        <v>—</v>
      </c>
    </row>
    <row r="11" spans="1:9" x14ac:dyDescent="0.2">
      <c r="A11" s="17">
        <v>7</v>
      </c>
      <c r="B11" s="14" t="s">
        <v>97</v>
      </c>
      <c r="C11" s="14" t="s">
        <v>98</v>
      </c>
      <c r="D11" s="17">
        <f>COUNTIF('Proyectos 2026'!$F$5:$F$14,C11)</f>
        <v>0</v>
      </c>
      <c r="E11" s="17">
        <f>COUNTIF('Producción científica'!$I$5:$I$12,C11)</f>
        <v>0</v>
      </c>
      <c r="F11" s="17">
        <f>COUNTIF('Tesis 2026'!$L$5:$L$15,C11)</f>
        <v>0</v>
      </c>
      <c r="G11" s="17">
        <f>COUNTIF(Postulaciones!$I$5:$I$5,C11)</f>
        <v>0</v>
      </c>
      <c r="H11" s="17">
        <f t="shared" si="0"/>
        <v>0</v>
      </c>
      <c r="I11" s="17" t="str">
        <f t="shared" si="1"/>
        <v>—</v>
      </c>
    </row>
    <row r="12" spans="1:9" x14ac:dyDescent="0.2">
      <c r="A12" s="17">
        <v>8</v>
      </c>
      <c r="B12" s="14" t="s">
        <v>97</v>
      </c>
      <c r="C12" s="14" t="s">
        <v>99</v>
      </c>
      <c r="D12" s="17">
        <f>COUNTIF('Proyectos 2026'!$F$5:$F$14,C12)</f>
        <v>0</v>
      </c>
      <c r="E12" s="17">
        <f>COUNTIF('Producción científica'!$I$5:$I$12,C12)</f>
        <v>0</v>
      </c>
      <c r="F12" s="17">
        <f>COUNTIF('Tesis 2026'!$L$5:$L$15,C12)</f>
        <v>0</v>
      </c>
      <c r="G12" s="17">
        <f>COUNTIF(Postulaciones!$I$5:$I$5,C12)</f>
        <v>0</v>
      </c>
      <c r="H12" s="17">
        <f t="shared" si="0"/>
        <v>0</v>
      </c>
      <c r="I12" s="17" t="str">
        <f t="shared" si="1"/>
        <v>—</v>
      </c>
    </row>
    <row r="13" spans="1:9" x14ac:dyDescent="0.2">
      <c r="A13" s="17">
        <v>9</v>
      </c>
      <c r="B13" s="14" t="s">
        <v>97</v>
      </c>
      <c r="C13" s="14" t="s">
        <v>100</v>
      </c>
      <c r="D13" s="17">
        <f>COUNTIF('Proyectos 2026'!$F$5:$F$14,C13)</f>
        <v>0</v>
      </c>
      <c r="E13" s="17">
        <f>COUNTIF('Producción científica'!$I$5:$I$12,C13)</f>
        <v>0</v>
      </c>
      <c r="F13" s="17">
        <f>COUNTIF('Tesis 2026'!$L$5:$L$15,C13)</f>
        <v>0</v>
      </c>
      <c r="G13" s="17">
        <f>COUNTIF(Postulaciones!$I$5:$I$5,C13)</f>
        <v>0</v>
      </c>
      <c r="H13" s="17">
        <f t="shared" si="0"/>
        <v>0</v>
      </c>
      <c r="I13" s="17" t="str">
        <f t="shared" si="1"/>
        <v>—</v>
      </c>
    </row>
    <row r="14" spans="1:9" x14ac:dyDescent="0.2">
      <c r="A14" s="17">
        <v>10</v>
      </c>
      <c r="B14" s="14" t="s">
        <v>97</v>
      </c>
      <c r="C14" s="14" t="s">
        <v>101</v>
      </c>
      <c r="D14" s="17">
        <f>COUNTIF('Proyectos 2026'!$F$5:$F$14,C14)</f>
        <v>0</v>
      </c>
      <c r="E14" s="17">
        <f>COUNTIF('Producción científica'!$I$5:$I$12,C14)</f>
        <v>0</v>
      </c>
      <c r="F14" s="17">
        <f>COUNTIF('Tesis 2026'!$L$5:$L$15,C14)</f>
        <v>0</v>
      </c>
      <c r="G14" s="17">
        <f>COUNTIF(Postulaciones!$I$5:$I$5,C14)</f>
        <v>0</v>
      </c>
      <c r="H14" s="17">
        <f t="shared" si="0"/>
        <v>0</v>
      </c>
      <c r="I14" s="17" t="str">
        <f t="shared" si="1"/>
        <v>—</v>
      </c>
    </row>
    <row r="15" spans="1:9" x14ac:dyDescent="0.2">
      <c r="A15" s="17">
        <v>11</v>
      </c>
      <c r="B15" s="14" t="s">
        <v>97</v>
      </c>
      <c r="C15" s="14" t="s">
        <v>102</v>
      </c>
      <c r="D15" s="17">
        <f>COUNTIF('Proyectos 2026'!$F$5:$F$14,C15)</f>
        <v>0</v>
      </c>
      <c r="E15" s="17">
        <f>COUNTIF('Producción científica'!$I$5:$I$12,C15)</f>
        <v>0</v>
      </c>
      <c r="F15" s="17">
        <f>COUNTIF('Tesis 2026'!$L$5:$L$15,C15)</f>
        <v>0</v>
      </c>
      <c r="G15" s="17">
        <f>COUNTIF(Postulaciones!$I$5:$I$5,C15)</f>
        <v>0</v>
      </c>
      <c r="H15" s="17">
        <f t="shared" si="0"/>
        <v>0</v>
      </c>
      <c r="I15" s="17" t="str">
        <f t="shared" si="1"/>
        <v>—</v>
      </c>
    </row>
    <row r="16" spans="1:9" x14ac:dyDescent="0.2">
      <c r="A16" s="17">
        <v>12</v>
      </c>
      <c r="B16" s="14" t="s">
        <v>103</v>
      </c>
      <c r="C16" s="14" t="s">
        <v>104</v>
      </c>
      <c r="D16" s="17">
        <f>COUNTIF('Proyectos 2026'!$F$5:$F$14,C16)</f>
        <v>0</v>
      </c>
      <c r="E16" s="17">
        <f>COUNTIF('Producción científica'!$I$5:$I$12,C16)</f>
        <v>0</v>
      </c>
      <c r="F16" s="17">
        <f>COUNTIF('Tesis 2026'!$L$5:$L$15,C16)</f>
        <v>0</v>
      </c>
      <c r="G16" s="17">
        <f>COUNTIF(Postulaciones!$I$5:$I$5,C16)</f>
        <v>0</v>
      </c>
      <c r="H16" s="17">
        <f t="shared" si="0"/>
        <v>0</v>
      </c>
      <c r="I16" s="17" t="str">
        <f t="shared" si="1"/>
        <v>—</v>
      </c>
    </row>
    <row r="17" spans="1:9" x14ac:dyDescent="0.2">
      <c r="A17" s="17">
        <v>13</v>
      </c>
      <c r="B17" s="14" t="s">
        <v>103</v>
      </c>
      <c r="C17" s="14" t="s">
        <v>105</v>
      </c>
      <c r="D17" s="17">
        <f>COUNTIF('Proyectos 2026'!$F$5:$F$14,C17)</f>
        <v>0</v>
      </c>
      <c r="E17" s="17">
        <f>COUNTIF('Producción científica'!$I$5:$I$12,C17)</f>
        <v>0</v>
      </c>
      <c r="F17" s="17">
        <f>COUNTIF('Tesis 2026'!$L$5:$L$15,C17)</f>
        <v>0</v>
      </c>
      <c r="G17" s="17">
        <f>COUNTIF(Postulaciones!$I$5:$I$5,C17)</f>
        <v>0</v>
      </c>
      <c r="H17" s="17">
        <f t="shared" si="0"/>
        <v>0</v>
      </c>
      <c r="I17" s="17" t="str">
        <f t="shared" si="1"/>
        <v>—</v>
      </c>
    </row>
    <row r="18" spans="1:9" x14ac:dyDescent="0.2">
      <c r="A18" s="17">
        <v>14</v>
      </c>
      <c r="B18" s="14" t="s">
        <v>103</v>
      </c>
      <c r="C18" s="14" t="s">
        <v>106</v>
      </c>
      <c r="D18" s="17">
        <f>COUNTIF('Proyectos 2026'!$F$5:$F$14,C18)</f>
        <v>0</v>
      </c>
      <c r="E18" s="17">
        <f>COUNTIF('Producción científica'!$I$5:$I$12,C18)</f>
        <v>0</v>
      </c>
      <c r="F18" s="17">
        <f>COUNTIF('Tesis 2026'!$L$5:$L$15,C18)</f>
        <v>0</v>
      </c>
      <c r="G18" s="17">
        <f>COUNTIF(Postulaciones!$I$5:$I$5,C18)</f>
        <v>0</v>
      </c>
      <c r="H18" s="17">
        <f t="shared" si="0"/>
        <v>0</v>
      </c>
      <c r="I18" s="17" t="str">
        <f t="shared" si="1"/>
        <v>—</v>
      </c>
    </row>
    <row r="19" spans="1:9" x14ac:dyDescent="0.2">
      <c r="A19" s="17">
        <v>15</v>
      </c>
      <c r="B19" s="14" t="s">
        <v>103</v>
      </c>
      <c r="C19" s="14" t="s">
        <v>107</v>
      </c>
      <c r="D19" s="17">
        <f>COUNTIF('Proyectos 2026'!$F$5:$F$14,C19)</f>
        <v>0</v>
      </c>
      <c r="E19" s="17">
        <f>COUNTIF('Producción científica'!$I$5:$I$12,C19)</f>
        <v>0</v>
      </c>
      <c r="F19" s="17">
        <f>COUNTIF('Tesis 2026'!$L$5:$L$15,C19)</f>
        <v>0</v>
      </c>
      <c r="G19" s="17">
        <f>COUNTIF(Postulaciones!$I$5:$I$5,C19)</f>
        <v>0</v>
      </c>
      <c r="H19" s="17">
        <f t="shared" si="0"/>
        <v>0</v>
      </c>
      <c r="I19" s="17" t="str">
        <f t="shared" si="1"/>
        <v>—</v>
      </c>
    </row>
    <row r="20" spans="1:9" x14ac:dyDescent="0.2">
      <c r="A20" s="17">
        <v>16</v>
      </c>
      <c r="B20" s="14" t="s">
        <v>103</v>
      </c>
      <c r="C20" s="14" t="s">
        <v>108</v>
      </c>
      <c r="D20" s="17">
        <f>COUNTIF('Proyectos 2026'!$F$5:$F$14,C20)</f>
        <v>0</v>
      </c>
      <c r="E20" s="17">
        <f>COUNTIF('Producción científica'!$I$5:$I$12,C20)</f>
        <v>0</v>
      </c>
      <c r="F20" s="17">
        <f>COUNTIF('Tesis 2026'!$L$5:$L$15,C20)</f>
        <v>0</v>
      </c>
      <c r="G20" s="17">
        <f>COUNTIF(Postulaciones!$I$5:$I$5,C20)</f>
        <v>0</v>
      </c>
      <c r="H20" s="17">
        <f t="shared" si="0"/>
        <v>0</v>
      </c>
      <c r="I20" s="17" t="str">
        <f t="shared" si="1"/>
        <v>—</v>
      </c>
    </row>
    <row r="21" spans="1:9" x14ac:dyDescent="0.2">
      <c r="A21" s="17">
        <v>17</v>
      </c>
      <c r="B21" s="14" t="s">
        <v>103</v>
      </c>
      <c r="C21" s="14" t="s">
        <v>109</v>
      </c>
      <c r="D21" s="17">
        <f>COUNTIF('Proyectos 2026'!$F$5:$F$14,C21)</f>
        <v>0</v>
      </c>
      <c r="E21" s="17">
        <f>COUNTIF('Producción científica'!$I$5:$I$12,C21)</f>
        <v>0</v>
      </c>
      <c r="F21" s="17">
        <f>COUNTIF('Tesis 2026'!$L$5:$L$15,C21)</f>
        <v>0</v>
      </c>
      <c r="G21" s="17">
        <f>COUNTIF(Postulaciones!$I$5:$I$5,C21)</f>
        <v>0</v>
      </c>
      <c r="H21" s="17">
        <f t="shared" si="0"/>
        <v>0</v>
      </c>
      <c r="I21" s="17" t="str">
        <f t="shared" si="1"/>
        <v>—</v>
      </c>
    </row>
    <row r="22" spans="1:9" x14ac:dyDescent="0.2">
      <c r="A22" s="17">
        <v>18</v>
      </c>
      <c r="B22" s="14" t="s">
        <v>103</v>
      </c>
      <c r="C22" s="14" t="s">
        <v>110</v>
      </c>
      <c r="D22" s="17">
        <f>COUNTIF('Proyectos 2026'!$F$5:$F$14,C22)</f>
        <v>0</v>
      </c>
      <c r="E22" s="17">
        <f>COUNTIF('Producción científica'!$I$5:$I$12,C22)</f>
        <v>0</v>
      </c>
      <c r="F22" s="17">
        <f>COUNTIF('Tesis 2026'!$L$5:$L$15,C22)</f>
        <v>0</v>
      </c>
      <c r="G22" s="17">
        <f>COUNTIF(Postulaciones!$I$5:$I$5,C22)</f>
        <v>0</v>
      </c>
      <c r="H22" s="17">
        <f t="shared" si="0"/>
        <v>0</v>
      </c>
      <c r="I22" s="17" t="str">
        <f t="shared" si="1"/>
        <v>—</v>
      </c>
    </row>
    <row r="23" spans="1:9" x14ac:dyDescent="0.2">
      <c r="A23" s="17">
        <v>19</v>
      </c>
      <c r="B23" s="14" t="s">
        <v>103</v>
      </c>
      <c r="C23" s="14" t="s">
        <v>111</v>
      </c>
      <c r="D23" s="17">
        <f>COUNTIF('Proyectos 2026'!$F$5:$F$14,C23)</f>
        <v>0</v>
      </c>
      <c r="E23" s="17">
        <f>COUNTIF('Producción científica'!$I$5:$I$12,C23)</f>
        <v>0</v>
      </c>
      <c r="F23" s="17">
        <f>COUNTIF('Tesis 2026'!$L$5:$L$15,C23)</f>
        <v>0</v>
      </c>
      <c r="G23" s="17">
        <f>COUNTIF(Postulaciones!$I$5:$I$5,C23)</f>
        <v>0</v>
      </c>
      <c r="H23" s="17">
        <f t="shared" si="0"/>
        <v>0</v>
      </c>
      <c r="I23" s="17" t="str">
        <f t="shared" si="1"/>
        <v>—</v>
      </c>
    </row>
    <row r="24" spans="1:9" x14ac:dyDescent="0.2">
      <c r="A24" s="17">
        <v>20</v>
      </c>
      <c r="B24" s="14" t="s">
        <v>112</v>
      </c>
      <c r="C24" s="14" t="s">
        <v>113</v>
      </c>
      <c r="D24" s="17">
        <f>COUNTIF('Proyectos 2026'!$F$5:$F$14,C24)</f>
        <v>0</v>
      </c>
      <c r="E24" s="17">
        <f>COUNTIF('Producción científica'!$I$5:$I$12,C24)</f>
        <v>0</v>
      </c>
      <c r="F24" s="17">
        <f>COUNTIF('Tesis 2026'!$L$5:$L$15,C24)</f>
        <v>0</v>
      </c>
      <c r="G24" s="17">
        <f>COUNTIF(Postulaciones!$I$5:$I$5,C24)</f>
        <v>0</v>
      </c>
      <c r="H24" s="17">
        <f t="shared" si="0"/>
        <v>0</v>
      </c>
      <c r="I24" s="17" t="str">
        <f t="shared" si="1"/>
        <v>—</v>
      </c>
    </row>
    <row r="25" spans="1:9" x14ac:dyDescent="0.2">
      <c r="A25" s="17">
        <v>21</v>
      </c>
      <c r="B25" s="14" t="s">
        <v>112</v>
      </c>
      <c r="C25" s="14" t="s">
        <v>114</v>
      </c>
      <c r="D25" s="17">
        <f>COUNTIF('Proyectos 2026'!$F$5:$F$14,C25)</f>
        <v>0</v>
      </c>
      <c r="E25" s="17">
        <f>COUNTIF('Producción científica'!$I$5:$I$12,C25)</f>
        <v>0</v>
      </c>
      <c r="F25" s="17">
        <f>COUNTIF('Tesis 2026'!$L$5:$L$15,C25)</f>
        <v>0</v>
      </c>
      <c r="G25" s="17">
        <f>COUNTIF(Postulaciones!$I$5:$I$5,C25)</f>
        <v>0</v>
      </c>
      <c r="H25" s="17">
        <f t="shared" si="0"/>
        <v>0</v>
      </c>
      <c r="I25" s="17" t="str">
        <f t="shared" si="1"/>
        <v>—</v>
      </c>
    </row>
    <row r="26" spans="1:9" x14ac:dyDescent="0.2">
      <c r="A26" s="17">
        <v>22</v>
      </c>
      <c r="B26" s="14" t="s">
        <v>112</v>
      </c>
      <c r="C26" s="14" t="s">
        <v>115</v>
      </c>
      <c r="D26" s="17">
        <f>COUNTIF('Proyectos 2026'!$F$5:$F$14,C26)</f>
        <v>0</v>
      </c>
      <c r="E26" s="17">
        <f>COUNTIF('Producción científica'!$I$5:$I$12,C26)</f>
        <v>0</v>
      </c>
      <c r="F26" s="17">
        <f>COUNTIF('Tesis 2026'!$L$5:$L$15,C26)</f>
        <v>1</v>
      </c>
      <c r="G26" s="17">
        <f>COUNTIF(Postulaciones!$I$5:$I$5,C26)</f>
        <v>0</v>
      </c>
      <c r="H26" s="17">
        <f t="shared" si="0"/>
        <v>1</v>
      </c>
      <c r="I26" s="17" t="str">
        <f t="shared" si="1"/>
        <v>Sí</v>
      </c>
    </row>
    <row r="27" spans="1:9" x14ac:dyDescent="0.2">
      <c r="A27" s="17">
        <v>23</v>
      </c>
      <c r="B27" s="14" t="s">
        <v>112</v>
      </c>
      <c r="C27" s="14" t="s">
        <v>116</v>
      </c>
      <c r="D27" s="17">
        <f>COUNTIF('Proyectos 2026'!$F$5:$F$14,C27)</f>
        <v>2</v>
      </c>
      <c r="E27" s="17">
        <f>COUNTIF('Producción científica'!$I$5:$I$12,C27)</f>
        <v>2</v>
      </c>
      <c r="F27" s="17">
        <f>COUNTIF('Tesis 2026'!$L$5:$L$15,C27)</f>
        <v>1</v>
      </c>
      <c r="G27" s="17">
        <f>COUNTIF(Postulaciones!$I$5:$I$5,C27)</f>
        <v>0</v>
      </c>
      <c r="H27" s="17">
        <f t="shared" si="0"/>
        <v>5</v>
      </c>
      <c r="I27" s="17" t="str">
        <f t="shared" si="1"/>
        <v>Sí</v>
      </c>
    </row>
    <row r="28" spans="1:9" x14ac:dyDescent="0.2">
      <c r="A28" s="17">
        <v>24</v>
      </c>
      <c r="B28" s="14" t="s">
        <v>112</v>
      </c>
      <c r="C28" s="14" t="s">
        <v>117</v>
      </c>
      <c r="D28" s="17">
        <f>COUNTIF('Proyectos 2026'!$F$5:$F$14,C28)</f>
        <v>2</v>
      </c>
      <c r="E28" s="17">
        <f>COUNTIF('Producción científica'!$I$5:$I$12,C28)</f>
        <v>1</v>
      </c>
      <c r="F28" s="17">
        <f>COUNTIF('Tesis 2026'!$L$5:$L$15,C28)</f>
        <v>3</v>
      </c>
      <c r="G28" s="17">
        <f>COUNTIF(Postulaciones!$I$5:$I$5,C28)</f>
        <v>1</v>
      </c>
      <c r="H28" s="17">
        <f t="shared" si="0"/>
        <v>7</v>
      </c>
      <c r="I28" s="17" t="str">
        <f t="shared" si="1"/>
        <v>Sí</v>
      </c>
    </row>
    <row r="29" spans="1:9" x14ac:dyDescent="0.2">
      <c r="A29" s="17">
        <v>25</v>
      </c>
      <c r="B29" s="14" t="s">
        <v>112</v>
      </c>
      <c r="C29" s="14" t="s">
        <v>118</v>
      </c>
      <c r="D29" s="17">
        <f>COUNTIF('Proyectos 2026'!$F$5:$F$14,C29)</f>
        <v>5</v>
      </c>
      <c r="E29" s="17">
        <f>COUNTIF('Producción científica'!$I$5:$I$12,C29)</f>
        <v>3</v>
      </c>
      <c r="F29" s="17">
        <f>COUNTIF('Tesis 2026'!$L$5:$L$15,C29)</f>
        <v>1</v>
      </c>
      <c r="G29" s="17">
        <f>COUNTIF(Postulaciones!$I$5:$I$5,C29)</f>
        <v>0</v>
      </c>
      <c r="H29" s="17">
        <f t="shared" si="0"/>
        <v>9</v>
      </c>
      <c r="I29" s="17" t="str">
        <f t="shared" si="1"/>
        <v>Sí</v>
      </c>
    </row>
    <row r="30" spans="1:9" x14ac:dyDescent="0.2">
      <c r="A30" s="17">
        <v>26</v>
      </c>
      <c r="B30" s="14" t="s">
        <v>112</v>
      </c>
      <c r="C30" s="14" t="s">
        <v>119</v>
      </c>
      <c r="D30" s="17">
        <f>COUNTIF('Proyectos 2026'!$F$5:$F$14,C30)</f>
        <v>1</v>
      </c>
      <c r="E30" s="17">
        <f>COUNTIF('Producción científica'!$I$5:$I$12,C30)</f>
        <v>1</v>
      </c>
      <c r="F30" s="17">
        <f>COUNTIF('Tesis 2026'!$L$5:$L$15,C30)</f>
        <v>0</v>
      </c>
      <c r="G30" s="17">
        <f>COUNTIF(Postulaciones!$I$5:$I$5,C30)</f>
        <v>0</v>
      </c>
      <c r="H30" s="17">
        <f t="shared" si="0"/>
        <v>2</v>
      </c>
      <c r="I30" s="17" t="str">
        <f t="shared" si="1"/>
        <v>Sí</v>
      </c>
    </row>
    <row r="31" spans="1:9" x14ac:dyDescent="0.2">
      <c r="A31" s="17">
        <v>27</v>
      </c>
      <c r="B31" s="14" t="s">
        <v>112</v>
      </c>
      <c r="C31" s="14" t="s">
        <v>120</v>
      </c>
      <c r="D31" s="17">
        <f>COUNTIF('Proyectos 2026'!$F$5:$F$14,C31)</f>
        <v>0</v>
      </c>
      <c r="E31" s="17">
        <f>COUNTIF('Producción científica'!$I$5:$I$12,C31)</f>
        <v>0</v>
      </c>
      <c r="F31" s="17">
        <f>COUNTIF('Tesis 2026'!$L$5:$L$15,C31)</f>
        <v>0</v>
      </c>
      <c r="G31" s="17">
        <f>COUNTIF(Postulaciones!$I$5:$I$5,C31)</f>
        <v>0</v>
      </c>
      <c r="H31" s="17">
        <f t="shared" si="0"/>
        <v>0</v>
      </c>
      <c r="I31" s="17" t="str">
        <f t="shared" si="1"/>
        <v>—</v>
      </c>
    </row>
    <row r="32" spans="1:9" x14ac:dyDescent="0.2">
      <c r="A32" s="17">
        <v>28</v>
      </c>
      <c r="B32" s="14" t="s">
        <v>112</v>
      </c>
      <c r="C32" s="14" t="s">
        <v>121</v>
      </c>
      <c r="D32" s="17">
        <f>COUNTIF('Proyectos 2026'!$F$5:$F$14,C32)</f>
        <v>0</v>
      </c>
      <c r="E32" s="17">
        <f>COUNTIF('Producción científica'!$I$5:$I$12,C32)</f>
        <v>0</v>
      </c>
      <c r="F32" s="17">
        <f>COUNTIF('Tesis 2026'!$L$5:$L$15,C32)</f>
        <v>1</v>
      </c>
      <c r="G32" s="17">
        <f>COUNTIF(Postulaciones!$I$5:$I$5,C32)</f>
        <v>0</v>
      </c>
      <c r="H32" s="17">
        <f t="shared" si="0"/>
        <v>1</v>
      </c>
      <c r="I32" s="17" t="str">
        <f t="shared" si="1"/>
        <v>Sí</v>
      </c>
    </row>
    <row r="33" spans="1:9" x14ac:dyDescent="0.2">
      <c r="A33" s="17">
        <v>29</v>
      </c>
      <c r="B33" s="14" t="s">
        <v>112</v>
      </c>
      <c r="C33" s="14" t="s">
        <v>122</v>
      </c>
      <c r="D33" s="17">
        <f>COUNTIF('Proyectos 2026'!$F$5:$F$14,C33)</f>
        <v>0</v>
      </c>
      <c r="E33" s="17">
        <f>COUNTIF('Producción científica'!$I$5:$I$12,C33)</f>
        <v>1</v>
      </c>
      <c r="F33" s="17">
        <f>COUNTIF('Tesis 2026'!$L$5:$L$15,C33)</f>
        <v>3</v>
      </c>
      <c r="G33" s="17">
        <f>COUNTIF(Postulaciones!$I$5:$I$5,C33)</f>
        <v>0</v>
      </c>
      <c r="H33" s="17">
        <f t="shared" si="0"/>
        <v>4</v>
      </c>
      <c r="I33" s="17" t="str">
        <f t="shared" si="1"/>
        <v>Sí</v>
      </c>
    </row>
    <row r="34" spans="1:9" x14ac:dyDescent="0.2">
      <c r="A34" s="17">
        <v>30</v>
      </c>
      <c r="B34" s="14" t="s">
        <v>112</v>
      </c>
      <c r="C34" s="14" t="s">
        <v>123</v>
      </c>
      <c r="D34" s="17">
        <f>COUNTIF('Proyectos 2026'!$F$5:$F$14,C34)</f>
        <v>0</v>
      </c>
      <c r="E34" s="17">
        <f>COUNTIF('Producción científica'!$I$5:$I$12,C34)</f>
        <v>0</v>
      </c>
      <c r="F34" s="17">
        <f>COUNTIF('Tesis 2026'!$L$5:$L$15,C34)</f>
        <v>0</v>
      </c>
      <c r="G34" s="17">
        <f>COUNTIF(Postulaciones!$I$5:$I$5,C34)</f>
        <v>0</v>
      </c>
      <c r="H34" s="17">
        <f t="shared" si="0"/>
        <v>0</v>
      </c>
      <c r="I34" s="17" t="str">
        <f t="shared" si="1"/>
        <v>—</v>
      </c>
    </row>
    <row r="35" spans="1:9" x14ac:dyDescent="0.2">
      <c r="A35" s="17">
        <v>31</v>
      </c>
      <c r="B35" s="14" t="s">
        <v>124</v>
      </c>
      <c r="C35" s="14" t="s">
        <v>125</v>
      </c>
      <c r="D35" s="17">
        <f>COUNTIF('Proyectos 2026'!$F$5:$F$14,C35)</f>
        <v>0</v>
      </c>
      <c r="E35" s="17">
        <f>COUNTIF('Producción científica'!$I$5:$I$12,C35)</f>
        <v>0</v>
      </c>
      <c r="F35" s="17">
        <f>COUNTIF('Tesis 2026'!$L$5:$L$15,C35)</f>
        <v>0</v>
      </c>
      <c r="G35" s="17">
        <f>COUNTIF(Postulaciones!$I$5:$I$5,C35)</f>
        <v>0</v>
      </c>
      <c r="H35" s="17">
        <f t="shared" si="0"/>
        <v>0</v>
      </c>
      <c r="I35" s="17" t="str">
        <f t="shared" si="1"/>
        <v>—</v>
      </c>
    </row>
    <row r="36" spans="1:9" x14ac:dyDescent="0.2">
      <c r="A36" s="17">
        <v>32</v>
      </c>
      <c r="B36" s="14" t="s">
        <v>124</v>
      </c>
      <c r="C36" s="14" t="s">
        <v>126</v>
      </c>
      <c r="D36" s="17">
        <f>COUNTIF('Proyectos 2026'!$F$5:$F$14,C36)</f>
        <v>0</v>
      </c>
      <c r="E36" s="17">
        <f>COUNTIF('Producción científica'!$I$5:$I$12,C36)</f>
        <v>0</v>
      </c>
      <c r="F36" s="17">
        <f>COUNTIF('Tesis 2026'!$L$5:$L$15,C36)</f>
        <v>0</v>
      </c>
      <c r="G36" s="17">
        <f>COUNTIF(Postulaciones!$I$5:$I$5,C36)</f>
        <v>0</v>
      </c>
      <c r="H36" s="17">
        <f t="shared" si="0"/>
        <v>0</v>
      </c>
      <c r="I36" s="17" t="str">
        <f t="shared" si="1"/>
        <v>—</v>
      </c>
    </row>
    <row r="37" spans="1:9" x14ac:dyDescent="0.2">
      <c r="A37" s="17">
        <v>33</v>
      </c>
      <c r="B37" s="14" t="s">
        <v>124</v>
      </c>
      <c r="C37" s="14" t="s">
        <v>127</v>
      </c>
      <c r="D37" s="17">
        <f>COUNTIF('Proyectos 2026'!$F$5:$F$14,C37)</f>
        <v>0</v>
      </c>
      <c r="E37" s="17">
        <f>COUNTIF('Producción científica'!$I$5:$I$12,C37)</f>
        <v>0</v>
      </c>
      <c r="F37" s="17">
        <f>COUNTIF('Tesis 2026'!$L$5:$L$15,C37)</f>
        <v>0</v>
      </c>
      <c r="G37" s="17">
        <f>COUNTIF(Postulaciones!$I$5:$I$5,C37)</f>
        <v>0</v>
      </c>
      <c r="H37" s="17">
        <f t="shared" si="0"/>
        <v>0</v>
      </c>
      <c r="I37" s="17" t="str">
        <f t="shared" si="1"/>
        <v>—</v>
      </c>
    </row>
    <row r="38" spans="1:9" x14ac:dyDescent="0.2">
      <c r="A38" s="17">
        <v>34</v>
      </c>
      <c r="B38" s="14" t="s">
        <v>124</v>
      </c>
      <c r="C38" s="14" t="s">
        <v>128</v>
      </c>
      <c r="D38" s="17">
        <f>COUNTIF('Proyectos 2026'!$F$5:$F$14,C38)</f>
        <v>0</v>
      </c>
      <c r="E38" s="17">
        <f>COUNTIF('Producción científica'!$I$5:$I$12,C38)</f>
        <v>0</v>
      </c>
      <c r="F38" s="17">
        <f>COUNTIF('Tesis 2026'!$L$5:$L$15,C38)</f>
        <v>0</v>
      </c>
      <c r="G38" s="17">
        <f>COUNTIF(Postulaciones!$I$5:$I$5,C38)</f>
        <v>0</v>
      </c>
      <c r="H38" s="17">
        <f t="shared" si="0"/>
        <v>0</v>
      </c>
      <c r="I38" s="17" t="str">
        <f t="shared" si="1"/>
        <v>—</v>
      </c>
    </row>
    <row r="39" spans="1:9" x14ac:dyDescent="0.2">
      <c r="A39" s="17">
        <v>35</v>
      </c>
      <c r="B39" s="14" t="s">
        <v>124</v>
      </c>
      <c r="C39" s="14" t="s">
        <v>129</v>
      </c>
      <c r="D39" s="17">
        <f>COUNTIF('Proyectos 2026'!$F$5:$F$14,C39)</f>
        <v>0</v>
      </c>
      <c r="E39" s="17">
        <f>COUNTIF('Producción científica'!$I$5:$I$12,C39)</f>
        <v>0</v>
      </c>
      <c r="F39" s="17">
        <f>COUNTIF('Tesis 2026'!$L$5:$L$15,C39)</f>
        <v>0</v>
      </c>
      <c r="G39" s="17">
        <f>COUNTIF(Postulaciones!$I$5:$I$5,C39)</f>
        <v>0</v>
      </c>
      <c r="H39" s="17">
        <f t="shared" si="0"/>
        <v>0</v>
      </c>
      <c r="I39" s="17" t="str">
        <f t="shared" si="1"/>
        <v>—</v>
      </c>
    </row>
    <row r="40" spans="1:9" x14ac:dyDescent="0.2">
      <c r="A40" s="17">
        <v>36</v>
      </c>
      <c r="B40" s="14" t="s">
        <v>124</v>
      </c>
      <c r="C40" s="14" t="s">
        <v>130</v>
      </c>
      <c r="D40" s="17">
        <f>COUNTIF('Proyectos 2026'!$F$5:$F$14,C40)</f>
        <v>0</v>
      </c>
      <c r="E40" s="17">
        <f>COUNTIF('Producción científica'!$I$5:$I$12,C40)</f>
        <v>0</v>
      </c>
      <c r="F40" s="17">
        <f>COUNTIF('Tesis 2026'!$L$5:$L$15,C40)</f>
        <v>1</v>
      </c>
      <c r="G40" s="17">
        <f>COUNTIF(Postulaciones!$I$5:$I$5,C40)</f>
        <v>0</v>
      </c>
      <c r="H40" s="17">
        <f t="shared" si="0"/>
        <v>1</v>
      </c>
      <c r="I40" s="17" t="str">
        <f t="shared" si="1"/>
        <v>Sí</v>
      </c>
    </row>
    <row r="41" spans="1:9" x14ac:dyDescent="0.2">
      <c r="A41" s="17">
        <v>37</v>
      </c>
      <c r="B41" s="14" t="s">
        <v>124</v>
      </c>
      <c r="C41" s="14" t="s">
        <v>131</v>
      </c>
      <c r="D41" s="17">
        <f>COUNTIF('Proyectos 2026'!$F$5:$F$14,C41)</f>
        <v>0</v>
      </c>
      <c r="E41" s="17">
        <f>COUNTIF('Producción científica'!$I$5:$I$12,C41)</f>
        <v>0</v>
      </c>
      <c r="F41" s="17">
        <f>COUNTIF('Tesis 2026'!$L$5:$L$15,C41)</f>
        <v>0</v>
      </c>
      <c r="G41" s="17">
        <f>COUNTIF(Postulaciones!$I$5:$I$5,C41)</f>
        <v>0</v>
      </c>
      <c r="H41" s="17">
        <f t="shared" si="0"/>
        <v>0</v>
      </c>
      <c r="I41" s="17" t="str">
        <f t="shared" si="1"/>
        <v>—</v>
      </c>
    </row>
    <row r="42" spans="1:9" x14ac:dyDescent="0.2">
      <c r="C42" s="20" t="s">
        <v>132</v>
      </c>
      <c r="D42" s="20">
        <f>SUM(D5:D41)</f>
        <v>10</v>
      </c>
      <c r="E42" s="20">
        <f>SUM(E5:E41)</f>
        <v>8</v>
      </c>
      <c r="F42" s="20">
        <f>SUM(F5:F41)</f>
        <v>11</v>
      </c>
      <c r="G42" s="20">
        <f>SUM(G5:G41)</f>
        <v>1</v>
      </c>
      <c r="H42" s="20">
        <f>SUM(H5:H41)</f>
        <v>30</v>
      </c>
      <c r="I42" s="8" t="str">
        <f>COUNTIF(I5:I41,"Sí")&amp;" de "&amp;COUNTA(C5:C41)&amp;" líneas"</f>
        <v>8 de 37 líneas</v>
      </c>
    </row>
    <row r="45" spans="1:9" ht="21.75" customHeight="1" x14ac:dyDescent="0.2">
      <c r="B45" s="5" t="s">
        <v>133</v>
      </c>
      <c r="C45" s="5"/>
      <c r="D45" s="5"/>
      <c r="E45" s="5"/>
    </row>
    <row r="46" spans="1:9" ht="36" customHeight="1" x14ac:dyDescent="0.2">
      <c r="B46" s="19" t="s">
        <v>85</v>
      </c>
      <c r="C46" s="19" t="s">
        <v>134</v>
      </c>
      <c r="D46" s="19" t="s">
        <v>135</v>
      </c>
      <c r="E46" s="19" t="s">
        <v>88</v>
      </c>
    </row>
    <row r="47" spans="1:9" x14ac:dyDescent="0.2">
      <c r="B47" s="14" t="s">
        <v>90</v>
      </c>
      <c r="C47" s="17">
        <f>COUNTIF($B$5:$B$41,B47)</f>
        <v>6</v>
      </c>
      <c r="D47" s="17">
        <f>COUNTIFS($B$5:$B$41,B47,$I$5:$I$41,"Sí")</f>
        <v>0</v>
      </c>
      <c r="E47" s="17">
        <f>SUMIF($B$5:$B$41,B47,$H$5:$H$41)</f>
        <v>0</v>
      </c>
    </row>
    <row r="48" spans="1:9" x14ac:dyDescent="0.2">
      <c r="B48" s="14" t="s">
        <v>97</v>
      </c>
      <c r="C48" s="17">
        <f>COUNTIF($B$5:$B$41,B48)</f>
        <v>5</v>
      </c>
      <c r="D48" s="17">
        <f>COUNTIFS($B$5:$B$41,B48,$I$5:$I$41,"Sí")</f>
        <v>0</v>
      </c>
      <c r="E48" s="17">
        <f>SUMIF($B$5:$B$41,B48,$H$5:$H$41)</f>
        <v>0</v>
      </c>
    </row>
    <row r="49" spans="2:5" x14ac:dyDescent="0.2">
      <c r="B49" s="14" t="s">
        <v>103</v>
      </c>
      <c r="C49" s="17">
        <f>COUNTIF($B$5:$B$41,B49)</f>
        <v>8</v>
      </c>
      <c r="D49" s="17">
        <f>COUNTIFS($B$5:$B$41,B49,$I$5:$I$41,"Sí")</f>
        <v>0</v>
      </c>
      <c r="E49" s="17">
        <f>SUMIF($B$5:$B$41,B49,$H$5:$H$41)</f>
        <v>0</v>
      </c>
    </row>
    <row r="50" spans="2:5" x14ac:dyDescent="0.2">
      <c r="B50" s="14" t="s">
        <v>112</v>
      </c>
      <c r="C50" s="17">
        <f>COUNTIF($B$5:$B$41,B50)</f>
        <v>11</v>
      </c>
      <c r="D50" s="17">
        <f>COUNTIFS($B$5:$B$41,B50,$I$5:$I$41,"Sí")</f>
        <v>7</v>
      </c>
      <c r="E50" s="17">
        <f>SUMIF($B$5:$B$41,B50,$H$5:$H$41)</f>
        <v>29</v>
      </c>
    </row>
    <row r="51" spans="2:5" x14ac:dyDescent="0.2">
      <c r="B51" s="14" t="s">
        <v>124</v>
      </c>
      <c r="C51" s="17">
        <f>COUNTIF($B$5:$B$41,B51)</f>
        <v>7</v>
      </c>
      <c r="D51" s="17">
        <f>COUNTIFS($B$5:$B$41,B51,$I$5:$I$41,"Sí")</f>
        <v>1</v>
      </c>
      <c r="E51" s="17">
        <f>SUMIF($B$5:$B$41,B51,$H$5:$H$41)</f>
        <v>1</v>
      </c>
    </row>
    <row r="53" spans="2:5" x14ac:dyDescent="0.2">
      <c r="B53" s="21"/>
    </row>
  </sheetData>
  <autoFilter ref="A4:I41" xr:uid="{00000000-0009-0000-0000-000001000000}"/>
  <mergeCells count="3">
    <mergeCell ref="A1:I1"/>
    <mergeCell ref="A2:I2"/>
    <mergeCell ref="B45:E45"/>
  </mergeCells>
  <conditionalFormatting sqref="A5:I41">
    <cfRule type="expression" dxfId="4" priority="2">
      <formula>$H5&gt;0</formula>
    </cfRule>
  </conditionalFormatting>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7A"/>
    <pageSetUpPr fitToPage="1"/>
  </sheetPr>
  <dimension ref="A1:U17"/>
  <sheetViews>
    <sheetView zoomScaleNormal="100" workbookViewId="0">
      <pane xSplit="2" ySplit="4" topLeftCell="M7" activePane="bottomRight" state="frozen"/>
      <selection pane="topRight" activeCell="C1" sqref="C1"/>
      <selection pane="bottomLeft" activeCell="A5" sqref="A5"/>
      <selection pane="bottomRight" activeCell="J14" sqref="J14"/>
    </sheetView>
  </sheetViews>
  <sheetFormatPr baseColWidth="10" defaultColWidth="8.6640625" defaultRowHeight="15" x14ac:dyDescent="0.2"/>
  <cols>
    <col min="1" max="1" width="5" customWidth="1"/>
    <col min="2" max="2" width="60" customWidth="1"/>
    <col min="3" max="3" width="24" customWidth="1"/>
    <col min="4" max="4" width="22" customWidth="1"/>
    <col min="5" max="5" width="20" customWidth="1"/>
    <col min="6" max="6" width="30" customWidth="1"/>
    <col min="7" max="7" width="18" customWidth="1"/>
    <col min="8" max="9" width="20" customWidth="1"/>
    <col min="10" max="11" width="12" customWidth="1"/>
    <col min="12" max="12" width="13" customWidth="1"/>
    <col min="13" max="13" width="18" customWidth="1"/>
    <col min="14" max="16" width="11" customWidth="1"/>
    <col min="17" max="17" width="22" customWidth="1"/>
    <col min="18" max="18" width="26" customWidth="1"/>
    <col min="19" max="21" width="13" customWidth="1"/>
  </cols>
  <sheetData>
    <row r="1" spans="1:21" ht="27.75" customHeight="1" x14ac:dyDescent="0.2">
      <c r="A1" s="2" t="s">
        <v>136</v>
      </c>
      <c r="B1" s="2"/>
      <c r="C1" s="2"/>
      <c r="D1" s="2"/>
      <c r="E1" s="2"/>
      <c r="F1" s="2"/>
      <c r="G1" s="2"/>
      <c r="H1" s="2"/>
      <c r="I1" s="2"/>
      <c r="J1" s="2"/>
      <c r="K1" s="2"/>
      <c r="L1" s="2"/>
      <c r="M1" s="2"/>
      <c r="N1" s="2"/>
      <c r="O1" s="2"/>
      <c r="P1" s="2"/>
      <c r="Q1" s="2"/>
      <c r="R1" s="2"/>
      <c r="S1" s="2"/>
      <c r="T1" s="2"/>
      <c r="U1" s="2"/>
    </row>
    <row r="2" spans="1:21" ht="30" customHeight="1" x14ac:dyDescent="0.2">
      <c r="A2" s="1"/>
      <c r="B2" s="1"/>
      <c r="C2" s="1"/>
      <c r="D2" s="1"/>
      <c r="E2" s="1"/>
      <c r="F2" s="1"/>
      <c r="G2" s="1"/>
      <c r="H2" s="1"/>
      <c r="I2" s="1"/>
      <c r="J2" s="1"/>
      <c r="K2" s="1"/>
      <c r="L2" s="1"/>
      <c r="M2" s="1"/>
      <c r="N2" s="1"/>
      <c r="O2" s="1"/>
      <c r="P2" s="1"/>
      <c r="Q2" s="1"/>
      <c r="R2" s="1"/>
      <c r="S2" s="1"/>
      <c r="T2" s="1"/>
      <c r="U2" s="1"/>
    </row>
    <row r="4" spans="1:21" ht="36" customHeight="1" x14ac:dyDescent="0.2">
      <c r="A4" s="19" t="s">
        <v>15</v>
      </c>
      <c r="B4" s="19" t="s">
        <v>137</v>
      </c>
      <c r="C4" s="19" t="s">
        <v>138</v>
      </c>
      <c r="D4" s="19" t="s">
        <v>139</v>
      </c>
      <c r="E4" s="19" t="s">
        <v>140</v>
      </c>
      <c r="F4" s="19" t="s">
        <v>141</v>
      </c>
      <c r="G4" s="19" t="s">
        <v>142</v>
      </c>
      <c r="H4" s="19" t="s">
        <v>143</v>
      </c>
      <c r="I4" s="19" t="s">
        <v>144</v>
      </c>
      <c r="J4" s="19" t="s">
        <v>145</v>
      </c>
      <c r="K4" s="19" t="s">
        <v>146</v>
      </c>
      <c r="L4" s="19" t="s">
        <v>147</v>
      </c>
      <c r="M4" s="19" t="s">
        <v>148</v>
      </c>
      <c r="N4" s="19" t="s">
        <v>149</v>
      </c>
      <c r="O4" s="19" t="s">
        <v>150</v>
      </c>
      <c r="P4" s="19" t="s">
        <v>151</v>
      </c>
      <c r="Q4" s="19" t="s">
        <v>152</v>
      </c>
      <c r="R4" s="19" t="s">
        <v>153</v>
      </c>
      <c r="S4" s="19" t="s">
        <v>154</v>
      </c>
      <c r="T4" s="19" t="s">
        <v>155</v>
      </c>
      <c r="U4" s="19" t="s">
        <v>156</v>
      </c>
    </row>
    <row r="5" spans="1:21" ht="78" customHeight="1" x14ac:dyDescent="0.2">
      <c r="A5" s="17">
        <v>1</v>
      </c>
      <c r="B5" s="14" t="s">
        <v>157</v>
      </c>
      <c r="C5" s="14" t="s">
        <v>158</v>
      </c>
      <c r="D5" s="14" t="s">
        <v>159</v>
      </c>
      <c r="E5" s="14" t="s">
        <v>160</v>
      </c>
      <c r="F5" s="14" t="s">
        <v>118</v>
      </c>
      <c r="G5" s="14" t="str">
        <f>IFERROR(INDEX('Líneas UCSUR'!$B$5:$B$41,MATCH(F5,'Líneas UCSUR'!$C$5:$C$41,0)),"")</f>
        <v>Salud y bienestar</v>
      </c>
      <c r="H5" s="14" t="s">
        <v>161</v>
      </c>
      <c r="I5" s="14" t="s">
        <v>162</v>
      </c>
      <c r="J5" s="22" t="s">
        <v>163</v>
      </c>
      <c r="K5" s="23" t="s">
        <v>163</v>
      </c>
      <c r="L5" s="14" t="s">
        <v>164</v>
      </c>
      <c r="M5" s="23" t="s">
        <v>163</v>
      </c>
      <c r="N5" s="17" t="str">
        <f t="shared" ref="N5:N14" si="0">IF(M5="Por registrar","No","Sí")</f>
        <v>No</v>
      </c>
      <c r="O5" s="24">
        <v>46082</v>
      </c>
      <c r="P5" s="24">
        <v>46357</v>
      </c>
      <c r="Q5" s="25" t="s">
        <v>165</v>
      </c>
      <c r="R5" s="14" t="s">
        <v>159</v>
      </c>
      <c r="S5" s="17" t="s">
        <v>159</v>
      </c>
      <c r="T5" s="23" t="s">
        <v>163</v>
      </c>
      <c r="U5" s="23" t="s">
        <v>163</v>
      </c>
    </row>
    <row r="6" spans="1:21" ht="78" customHeight="1" x14ac:dyDescent="0.2">
      <c r="A6" s="17">
        <v>2</v>
      </c>
      <c r="B6" s="14" t="s">
        <v>166</v>
      </c>
      <c r="C6" s="23" t="s">
        <v>163</v>
      </c>
      <c r="D6" s="14" t="s">
        <v>167</v>
      </c>
      <c r="E6" s="14" t="s">
        <v>168</v>
      </c>
      <c r="F6" s="14" t="s">
        <v>117</v>
      </c>
      <c r="G6" s="14" t="str">
        <f>IFERROR(INDEX('Líneas UCSUR'!$B$5:$B$41,MATCH(F6,'Líneas UCSUR'!$C$5:$C$41,0)),"")</f>
        <v>Salud y bienestar</v>
      </c>
      <c r="H6" s="14" t="s">
        <v>161</v>
      </c>
      <c r="I6" s="14" t="s">
        <v>162</v>
      </c>
      <c r="J6" s="22" t="s">
        <v>163</v>
      </c>
      <c r="K6" s="23" t="s">
        <v>163</v>
      </c>
      <c r="L6" s="14" t="s">
        <v>164</v>
      </c>
      <c r="M6" s="23" t="s">
        <v>163</v>
      </c>
      <c r="N6" s="17" t="str">
        <f t="shared" si="0"/>
        <v>No</v>
      </c>
      <c r="O6" s="26" t="s">
        <v>163</v>
      </c>
      <c r="P6" s="26" t="s">
        <v>163</v>
      </c>
      <c r="Q6" s="27" t="s">
        <v>169</v>
      </c>
      <c r="R6" s="14" t="s">
        <v>159</v>
      </c>
      <c r="S6" s="17" t="s">
        <v>159</v>
      </c>
      <c r="T6" s="23" t="s">
        <v>163</v>
      </c>
      <c r="U6" s="23" t="s">
        <v>163</v>
      </c>
    </row>
    <row r="7" spans="1:21" ht="78" customHeight="1" x14ac:dyDescent="0.2">
      <c r="A7" s="17">
        <v>3</v>
      </c>
      <c r="B7" s="14" t="s">
        <v>170</v>
      </c>
      <c r="C7" s="14" t="s">
        <v>171</v>
      </c>
      <c r="D7" s="14" t="s">
        <v>159</v>
      </c>
      <c r="E7" s="14" t="s">
        <v>172</v>
      </c>
      <c r="F7" s="14" t="s">
        <v>117</v>
      </c>
      <c r="G7" s="14" t="str">
        <f>IFERROR(INDEX('Líneas UCSUR'!$B$5:$B$41,MATCH(F7,'Líneas UCSUR'!$C$5:$C$41,0)),"")</f>
        <v>Salud y bienestar</v>
      </c>
      <c r="H7" s="14" t="s">
        <v>173</v>
      </c>
      <c r="I7" s="14" t="s">
        <v>174</v>
      </c>
      <c r="J7" s="40">
        <v>40000</v>
      </c>
      <c r="K7" s="23" t="s">
        <v>163</v>
      </c>
      <c r="L7" s="14" t="s">
        <v>164</v>
      </c>
      <c r="M7" s="23" t="s">
        <v>163</v>
      </c>
      <c r="N7" s="17" t="str">
        <f t="shared" si="0"/>
        <v>No</v>
      </c>
      <c r="O7" s="26" t="s">
        <v>163</v>
      </c>
      <c r="P7" s="26" t="s">
        <v>163</v>
      </c>
      <c r="Q7" s="27" t="s">
        <v>175</v>
      </c>
      <c r="R7" s="14" t="s">
        <v>159</v>
      </c>
      <c r="S7" s="17" t="s">
        <v>159</v>
      </c>
      <c r="T7" s="23" t="s">
        <v>163</v>
      </c>
      <c r="U7" s="23" t="s">
        <v>163</v>
      </c>
    </row>
    <row r="8" spans="1:21" ht="78" customHeight="1" x14ac:dyDescent="0.2">
      <c r="A8" s="17">
        <v>4</v>
      </c>
      <c r="B8" s="14" t="s">
        <v>176</v>
      </c>
      <c r="C8" s="14" t="s">
        <v>177</v>
      </c>
      <c r="D8" s="14" t="s">
        <v>178</v>
      </c>
      <c r="E8" s="14" t="s">
        <v>172</v>
      </c>
      <c r="F8" s="14" t="s">
        <v>118</v>
      </c>
      <c r="G8" s="14" t="str">
        <f>IFERROR(INDEX('Líneas UCSUR'!$B$5:$B$41,MATCH(F8,'Líneas UCSUR'!$C$5:$C$41,0)),"")</f>
        <v>Salud y bienestar</v>
      </c>
      <c r="H8" s="14" t="s">
        <v>161</v>
      </c>
      <c r="I8" s="14" t="s">
        <v>162</v>
      </c>
      <c r="J8" s="22" t="s">
        <v>163</v>
      </c>
      <c r="K8" s="23" t="s">
        <v>163</v>
      </c>
      <c r="L8" s="14" t="s">
        <v>164</v>
      </c>
      <c r="M8" s="23" t="s">
        <v>163</v>
      </c>
      <c r="N8" s="17" t="str">
        <f t="shared" si="0"/>
        <v>No</v>
      </c>
      <c r="O8" s="26" t="s">
        <v>163</v>
      </c>
      <c r="P8" s="26" t="s">
        <v>163</v>
      </c>
      <c r="Q8" s="27" t="s">
        <v>179</v>
      </c>
      <c r="R8" s="14" t="s">
        <v>159</v>
      </c>
      <c r="S8" s="17" t="s">
        <v>159</v>
      </c>
      <c r="T8" s="23" t="s">
        <v>163</v>
      </c>
      <c r="U8" s="23" t="s">
        <v>163</v>
      </c>
    </row>
    <row r="9" spans="1:21" ht="78" customHeight="1" x14ac:dyDescent="0.2">
      <c r="A9" s="17">
        <v>5</v>
      </c>
      <c r="B9" s="14" t="s">
        <v>180</v>
      </c>
      <c r="C9" s="14" t="s">
        <v>178</v>
      </c>
      <c r="D9" s="14" t="s">
        <v>159</v>
      </c>
      <c r="E9" s="14" t="s">
        <v>172</v>
      </c>
      <c r="F9" s="14" t="s">
        <v>118</v>
      </c>
      <c r="G9" s="14" t="str">
        <f>IFERROR(INDEX('Líneas UCSUR'!$B$5:$B$41,MATCH(F9,'Líneas UCSUR'!$C$5:$C$41,0)),"")</f>
        <v>Salud y bienestar</v>
      </c>
      <c r="H9" s="14" t="s">
        <v>161</v>
      </c>
      <c r="I9" s="14" t="s">
        <v>162</v>
      </c>
      <c r="J9" s="22" t="s">
        <v>163</v>
      </c>
      <c r="K9" s="23" t="s">
        <v>163</v>
      </c>
      <c r="L9" s="14" t="s">
        <v>164</v>
      </c>
      <c r="M9" s="23" t="s">
        <v>163</v>
      </c>
      <c r="N9" s="17" t="str">
        <f t="shared" si="0"/>
        <v>No</v>
      </c>
      <c r="O9" s="26" t="s">
        <v>163</v>
      </c>
      <c r="P9" s="26" t="s">
        <v>163</v>
      </c>
      <c r="Q9" s="28" t="s">
        <v>181</v>
      </c>
      <c r="R9" s="14" t="s">
        <v>182</v>
      </c>
      <c r="S9" s="29" t="s">
        <v>20</v>
      </c>
      <c r="T9" s="23" t="s">
        <v>163</v>
      </c>
      <c r="U9" s="23" t="s">
        <v>163</v>
      </c>
    </row>
    <row r="10" spans="1:21" ht="78" customHeight="1" x14ac:dyDescent="0.2">
      <c r="A10" s="17">
        <v>6</v>
      </c>
      <c r="B10" s="14" t="s">
        <v>183</v>
      </c>
      <c r="C10" s="14" t="s">
        <v>184</v>
      </c>
      <c r="D10" s="14" t="s">
        <v>178</v>
      </c>
      <c r="E10" s="14" t="s">
        <v>172</v>
      </c>
      <c r="F10" s="14" t="s">
        <v>118</v>
      </c>
      <c r="G10" s="14" t="str">
        <f>IFERROR(INDEX('Líneas UCSUR'!$B$5:$B$41,MATCH(F10,'Líneas UCSUR'!$C$5:$C$41,0)),"")</f>
        <v>Salud y bienestar</v>
      </c>
      <c r="H10" s="14" t="s">
        <v>161</v>
      </c>
      <c r="I10" s="14" t="s">
        <v>162</v>
      </c>
      <c r="J10" s="22" t="s">
        <v>163</v>
      </c>
      <c r="K10" s="23" t="s">
        <v>163</v>
      </c>
      <c r="L10" s="14" t="s">
        <v>164</v>
      </c>
      <c r="M10" s="23" t="s">
        <v>163</v>
      </c>
      <c r="N10" s="17" t="str">
        <f t="shared" si="0"/>
        <v>No</v>
      </c>
      <c r="O10" s="26" t="s">
        <v>163</v>
      </c>
      <c r="P10" s="26" t="s">
        <v>163</v>
      </c>
      <c r="Q10" s="28" t="s">
        <v>185</v>
      </c>
      <c r="R10" s="14" t="s">
        <v>186</v>
      </c>
      <c r="S10" s="29" t="s">
        <v>17</v>
      </c>
      <c r="T10" s="23" t="s">
        <v>163</v>
      </c>
      <c r="U10" s="23" t="s">
        <v>163</v>
      </c>
    </row>
    <row r="11" spans="1:21" ht="78" customHeight="1" x14ac:dyDescent="0.2">
      <c r="A11" s="17">
        <v>7</v>
      </c>
      <c r="B11" s="14" t="s">
        <v>187</v>
      </c>
      <c r="C11" s="14" t="s">
        <v>178</v>
      </c>
      <c r="D11" s="14" t="s">
        <v>159</v>
      </c>
      <c r="E11" s="14" t="s">
        <v>172</v>
      </c>
      <c r="F11" s="14" t="s">
        <v>118</v>
      </c>
      <c r="G11" s="14" t="str">
        <f>IFERROR(INDEX('Líneas UCSUR'!$B$5:$B$41,MATCH(F11,'Líneas UCSUR'!$C$5:$C$41,0)),"")</f>
        <v>Salud y bienestar</v>
      </c>
      <c r="H11" s="14" t="s">
        <v>161</v>
      </c>
      <c r="I11" s="14" t="s">
        <v>162</v>
      </c>
      <c r="J11" s="22" t="s">
        <v>163</v>
      </c>
      <c r="K11" s="23" t="s">
        <v>163</v>
      </c>
      <c r="L11" s="23" t="s">
        <v>163</v>
      </c>
      <c r="M11" s="23" t="s">
        <v>163</v>
      </c>
      <c r="N11" s="17" t="str">
        <f t="shared" si="0"/>
        <v>No</v>
      </c>
      <c r="O11" s="26" t="s">
        <v>163</v>
      </c>
      <c r="P11" s="26" t="s">
        <v>163</v>
      </c>
      <c r="Q11" s="28" t="s">
        <v>188</v>
      </c>
      <c r="R11" s="14" t="s">
        <v>189</v>
      </c>
      <c r="S11" s="30" t="s">
        <v>22</v>
      </c>
      <c r="T11" s="23" t="s">
        <v>163</v>
      </c>
      <c r="U11" s="23" t="s">
        <v>163</v>
      </c>
    </row>
    <row r="12" spans="1:21" ht="78" customHeight="1" x14ac:dyDescent="0.2">
      <c r="A12" s="17">
        <v>8</v>
      </c>
      <c r="B12" s="14" t="s">
        <v>190</v>
      </c>
      <c r="C12" s="14" t="s">
        <v>191</v>
      </c>
      <c r="D12" s="14" t="s">
        <v>159</v>
      </c>
      <c r="E12" s="14" t="s">
        <v>192</v>
      </c>
      <c r="F12" s="14" t="s">
        <v>116</v>
      </c>
      <c r="G12" s="14" t="str">
        <f>IFERROR(INDEX('Líneas UCSUR'!$B$5:$B$41,MATCH(F12,'Líneas UCSUR'!$C$5:$C$41,0)),"")</f>
        <v>Salud y bienestar</v>
      </c>
      <c r="H12" s="14" t="s">
        <v>193</v>
      </c>
      <c r="I12" s="14" t="s">
        <v>194</v>
      </c>
      <c r="J12" s="40">
        <v>20000</v>
      </c>
      <c r="K12" s="23" t="s">
        <v>163</v>
      </c>
      <c r="L12" s="14" t="s">
        <v>164</v>
      </c>
      <c r="M12" s="14" t="s">
        <v>195</v>
      </c>
      <c r="N12" s="17" t="str">
        <f t="shared" si="0"/>
        <v>Sí</v>
      </c>
      <c r="O12" s="24">
        <v>46054</v>
      </c>
      <c r="P12" s="24">
        <v>46600</v>
      </c>
      <c r="Q12" s="25" t="s">
        <v>165</v>
      </c>
      <c r="R12" s="14" t="s">
        <v>196</v>
      </c>
      <c r="S12" s="30" t="s">
        <v>22</v>
      </c>
      <c r="T12" s="23" t="s">
        <v>163</v>
      </c>
      <c r="U12" s="23" t="s">
        <v>163</v>
      </c>
    </row>
    <row r="13" spans="1:21" ht="78" customHeight="1" x14ac:dyDescent="0.2">
      <c r="A13" s="17">
        <v>9</v>
      </c>
      <c r="B13" s="14" t="s">
        <v>197</v>
      </c>
      <c r="C13" s="14" t="s">
        <v>198</v>
      </c>
      <c r="D13" s="14" t="s">
        <v>159</v>
      </c>
      <c r="E13" s="14" t="s">
        <v>192</v>
      </c>
      <c r="F13" s="14" t="s">
        <v>116</v>
      </c>
      <c r="G13" s="14" t="str">
        <f>IFERROR(INDEX('Líneas UCSUR'!$B$5:$B$41,MATCH(F13,'Líneas UCSUR'!$C$5:$C$41,0)),"")</f>
        <v>Salud y bienestar</v>
      </c>
      <c r="H13" s="14" t="s">
        <v>193</v>
      </c>
      <c r="I13" s="14" t="s">
        <v>194</v>
      </c>
      <c r="J13" s="40">
        <v>20000</v>
      </c>
      <c r="K13" s="23" t="s">
        <v>163</v>
      </c>
      <c r="L13" s="14" t="s">
        <v>164</v>
      </c>
      <c r="M13" s="14" t="s">
        <v>199</v>
      </c>
      <c r="N13" s="17" t="str">
        <f t="shared" si="0"/>
        <v>Sí</v>
      </c>
      <c r="O13" s="24">
        <v>46054</v>
      </c>
      <c r="P13" s="24">
        <v>46600</v>
      </c>
      <c r="Q13" s="25" t="s">
        <v>165</v>
      </c>
      <c r="R13" s="14" t="s">
        <v>196</v>
      </c>
      <c r="S13" s="30" t="s">
        <v>22</v>
      </c>
      <c r="T13" s="23" t="s">
        <v>163</v>
      </c>
      <c r="U13" s="23" t="s">
        <v>163</v>
      </c>
    </row>
    <row r="14" spans="1:21" ht="78" customHeight="1" x14ac:dyDescent="0.2">
      <c r="A14" s="17">
        <v>10</v>
      </c>
      <c r="B14" s="14" t="s">
        <v>200</v>
      </c>
      <c r="C14" s="14" t="s">
        <v>201</v>
      </c>
      <c r="D14" s="14" t="s">
        <v>159</v>
      </c>
      <c r="E14" s="14" t="s">
        <v>172</v>
      </c>
      <c r="F14" s="14" t="s">
        <v>119</v>
      </c>
      <c r="G14" s="14" t="str">
        <f>IFERROR(INDEX('Líneas UCSUR'!$B$5:$B$41,MATCH(F14,'Líneas UCSUR'!$C$5:$C$41,0)),"")</f>
        <v>Salud y bienestar</v>
      </c>
      <c r="H14" s="14" t="s">
        <v>161</v>
      </c>
      <c r="I14" s="14" t="s">
        <v>162</v>
      </c>
      <c r="J14" s="22" t="s">
        <v>163</v>
      </c>
      <c r="K14" s="23" t="s">
        <v>163</v>
      </c>
      <c r="L14" s="14" t="s">
        <v>164</v>
      </c>
      <c r="M14" s="14" t="s">
        <v>202</v>
      </c>
      <c r="N14" s="17" t="str">
        <f t="shared" si="0"/>
        <v>Sí</v>
      </c>
      <c r="O14" s="24">
        <v>46054</v>
      </c>
      <c r="P14" s="24">
        <v>46235</v>
      </c>
      <c r="Q14" s="28" t="s">
        <v>185</v>
      </c>
      <c r="R14" s="14" t="s">
        <v>203</v>
      </c>
      <c r="S14" s="29" t="s">
        <v>17</v>
      </c>
      <c r="T14" s="23" t="s">
        <v>163</v>
      </c>
      <c r="U14" s="23" t="s">
        <v>163</v>
      </c>
    </row>
    <row r="16" spans="1:21" x14ac:dyDescent="0.2">
      <c r="B16" s="21" t="s">
        <v>204</v>
      </c>
    </row>
    <row r="17" spans="2:2" x14ac:dyDescent="0.2">
      <c r="B17" s="21" t="s">
        <v>205</v>
      </c>
    </row>
  </sheetData>
  <autoFilter ref="A4:U14" xr:uid="{00000000-0009-0000-0000-000002000000}"/>
  <mergeCells count="2">
    <mergeCell ref="A1:U1"/>
    <mergeCell ref="A2:U2"/>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0000000}">
          <x14:formula1>
            <xm:f>'Líneas UCSUR'!$C$5:$C$41</xm:f>
          </x14:formula1>
          <x14:formula2>
            <xm:f>0</xm:f>
          </x14:formula2>
          <xm:sqref>F5:F14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7A"/>
    <pageSetUpPr fitToPage="1"/>
  </sheetPr>
  <dimension ref="A1:K20"/>
  <sheetViews>
    <sheetView zoomScaleNormal="100" workbookViewId="0">
      <pane xSplit="2" ySplit="4" topLeftCell="C5" activePane="bottomRight" state="frozen"/>
      <selection pane="topRight" activeCell="C1" sqref="C1"/>
      <selection pane="bottomLeft" activeCell="A5" sqref="A5"/>
      <selection pane="bottomRight" activeCell="A2" sqref="A2:K2"/>
    </sheetView>
  </sheetViews>
  <sheetFormatPr baseColWidth="10" defaultColWidth="8.6640625" defaultRowHeight="15" x14ac:dyDescent="0.2"/>
  <cols>
    <col min="1" max="1" width="5" customWidth="1"/>
    <col min="2" max="2" width="58" customWidth="1"/>
    <col min="3" max="3" width="26" customWidth="1"/>
    <col min="4" max="4" width="13" customWidth="1"/>
    <col min="5" max="5" width="22" customWidth="1"/>
    <col min="6" max="6" width="30" customWidth="1"/>
    <col min="7" max="7" width="12" customWidth="1"/>
    <col min="8" max="8" width="34" customWidth="1"/>
    <col min="9" max="9" width="30" customWidth="1"/>
    <col min="10" max="10" width="34" customWidth="1"/>
    <col min="11" max="11" width="20" customWidth="1"/>
  </cols>
  <sheetData>
    <row r="1" spans="1:11" ht="27.75" customHeight="1" x14ac:dyDescent="0.2">
      <c r="A1" s="2" t="s">
        <v>206</v>
      </c>
      <c r="B1" s="2"/>
      <c r="C1" s="2"/>
      <c r="D1" s="2"/>
      <c r="E1" s="2"/>
      <c r="F1" s="2"/>
      <c r="G1" s="2"/>
      <c r="H1" s="2"/>
      <c r="I1" s="2"/>
      <c r="J1" s="2"/>
      <c r="K1" s="2"/>
    </row>
    <row r="2" spans="1:11" ht="30" customHeight="1" x14ac:dyDescent="0.2">
      <c r="A2" s="1"/>
      <c r="B2" s="1"/>
      <c r="C2" s="1"/>
      <c r="D2" s="1"/>
      <c r="E2" s="1"/>
      <c r="F2" s="1"/>
      <c r="G2" s="1"/>
      <c r="H2" s="1"/>
      <c r="I2" s="1"/>
      <c r="J2" s="1"/>
      <c r="K2" s="1"/>
    </row>
    <row r="4" spans="1:11" ht="36" customHeight="1" x14ac:dyDescent="0.2">
      <c r="A4" s="19" t="s">
        <v>15</v>
      </c>
      <c r="B4" s="19" t="s">
        <v>207</v>
      </c>
      <c r="C4" s="19" t="s">
        <v>208</v>
      </c>
      <c r="D4" s="19" t="s">
        <v>209</v>
      </c>
      <c r="E4" s="19" t="s">
        <v>210</v>
      </c>
      <c r="F4" s="19" t="s">
        <v>211</v>
      </c>
      <c r="G4" s="19" t="s">
        <v>14</v>
      </c>
      <c r="H4" s="19" t="s">
        <v>212</v>
      </c>
      <c r="I4" s="19" t="s">
        <v>141</v>
      </c>
      <c r="J4" s="19" t="s">
        <v>213</v>
      </c>
      <c r="K4" s="19" t="s">
        <v>214</v>
      </c>
    </row>
    <row r="5" spans="1:11" ht="60" customHeight="1" x14ac:dyDescent="0.2">
      <c r="A5" s="17">
        <v>1</v>
      </c>
      <c r="B5" s="14" t="s">
        <v>215</v>
      </c>
      <c r="C5" s="14" t="s">
        <v>216</v>
      </c>
      <c r="D5" s="31">
        <v>46265</v>
      </c>
      <c r="E5" s="14" t="s">
        <v>217</v>
      </c>
      <c r="F5" s="14" t="s">
        <v>218</v>
      </c>
      <c r="G5" s="29" t="s">
        <v>17</v>
      </c>
      <c r="H5" s="18" t="s">
        <v>219</v>
      </c>
      <c r="I5" s="14" t="s">
        <v>122</v>
      </c>
      <c r="J5" s="14" t="s">
        <v>220</v>
      </c>
      <c r="K5" s="14" t="s">
        <v>79</v>
      </c>
    </row>
    <row r="6" spans="1:11" ht="60" customHeight="1" x14ac:dyDescent="0.2">
      <c r="A6" s="17">
        <v>2</v>
      </c>
      <c r="B6" s="14" t="s">
        <v>200</v>
      </c>
      <c r="C6" s="14" t="s">
        <v>203</v>
      </c>
      <c r="D6" s="31">
        <v>46257</v>
      </c>
      <c r="E6" s="14" t="s">
        <v>221</v>
      </c>
      <c r="F6" s="14" t="s">
        <v>222</v>
      </c>
      <c r="G6" s="29" t="s">
        <v>17</v>
      </c>
      <c r="H6" s="18" t="s">
        <v>223</v>
      </c>
      <c r="I6" s="14" t="s">
        <v>119</v>
      </c>
      <c r="J6" s="14" t="s">
        <v>224</v>
      </c>
      <c r="K6" s="14" t="s">
        <v>225</v>
      </c>
    </row>
    <row r="7" spans="1:11" ht="60" customHeight="1" x14ac:dyDescent="0.2">
      <c r="A7" s="17">
        <v>3</v>
      </c>
      <c r="B7" s="14" t="s">
        <v>226</v>
      </c>
      <c r="C7" s="14" t="s">
        <v>186</v>
      </c>
      <c r="D7" s="31">
        <v>46171</v>
      </c>
      <c r="E7" s="14" t="s">
        <v>227</v>
      </c>
      <c r="F7" s="14" t="s">
        <v>228</v>
      </c>
      <c r="G7" s="29" t="s">
        <v>17</v>
      </c>
      <c r="H7" s="18" t="s">
        <v>229</v>
      </c>
      <c r="I7" s="14" t="s">
        <v>118</v>
      </c>
      <c r="J7" s="14" t="s">
        <v>230</v>
      </c>
      <c r="K7" s="14" t="s">
        <v>225</v>
      </c>
    </row>
    <row r="8" spans="1:11" ht="60" customHeight="1" x14ac:dyDescent="0.2">
      <c r="A8" s="17">
        <v>4</v>
      </c>
      <c r="B8" s="14" t="s">
        <v>231</v>
      </c>
      <c r="C8" s="14" t="s">
        <v>232</v>
      </c>
      <c r="D8" s="31">
        <v>46170</v>
      </c>
      <c r="E8" s="14" t="s">
        <v>233</v>
      </c>
      <c r="F8" s="14" t="s">
        <v>234</v>
      </c>
      <c r="G8" s="29" t="s">
        <v>17</v>
      </c>
      <c r="H8" s="18" t="s">
        <v>235</v>
      </c>
      <c r="I8" s="14" t="s">
        <v>117</v>
      </c>
      <c r="J8" s="14" t="s">
        <v>236</v>
      </c>
      <c r="K8" s="14" t="s">
        <v>79</v>
      </c>
    </row>
    <row r="9" spans="1:11" ht="60" customHeight="1" x14ac:dyDescent="0.2">
      <c r="A9" s="17">
        <v>5</v>
      </c>
      <c r="B9" s="14" t="s">
        <v>180</v>
      </c>
      <c r="C9" s="14" t="s">
        <v>182</v>
      </c>
      <c r="D9" s="31" t="s">
        <v>159</v>
      </c>
      <c r="E9" s="14" t="s">
        <v>159</v>
      </c>
      <c r="F9" s="14" t="s">
        <v>178</v>
      </c>
      <c r="G9" s="29" t="s">
        <v>20</v>
      </c>
      <c r="H9" s="14" t="s">
        <v>159</v>
      </c>
      <c r="I9" s="14" t="s">
        <v>118</v>
      </c>
      <c r="J9" s="14" t="s">
        <v>237</v>
      </c>
      <c r="K9" s="14" t="s">
        <v>238</v>
      </c>
    </row>
    <row r="10" spans="1:11" ht="60" customHeight="1" x14ac:dyDescent="0.2">
      <c r="A10" s="17">
        <v>6</v>
      </c>
      <c r="B10" s="14" t="s">
        <v>187</v>
      </c>
      <c r="C10" s="14" t="s">
        <v>189</v>
      </c>
      <c r="D10" s="31" t="s">
        <v>159</v>
      </c>
      <c r="E10" s="14" t="s">
        <v>159</v>
      </c>
      <c r="F10" s="14" t="s">
        <v>178</v>
      </c>
      <c r="G10" s="30" t="s">
        <v>22</v>
      </c>
      <c r="H10" s="14" t="s">
        <v>159</v>
      </c>
      <c r="I10" s="14" t="s">
        <v>118</v>
      </c>
      <c r="J10" s="14" t="s">
        <v>239</v>
      </c>
      <c r="K10" s="14" t="s">
        <v>238</v>
      </c>
    </row>
    <row r="11" spans="1:11" ht="60" customHeight="1" x14ac:dyDescent="0.2">
      <c r="A11" s="17">
        <v>7</v>
      </c>
      <c r="B11" s="14" t="s">
        <v>240</v>
      </c>
      <c r="C11" s="14" t="s">
        <v>196</v>
      </c>
      <c r="D11" s="31" t="s">
        <v>159</v>
      </c>
      <c r="E11" s="14" t="s">
        <v>159</v>
      </c>
      <c r="F11" s="14" t="s">
        <v>191</v>
      </c>
      <c r="G11" s="30" t="s">
        <v>22</v>
      </c>
      <c r="H11" s="14" t="s">
        <v>159</v>
      </c>
      <c r="I11" s="14" t="s">
        <v>116</v>
      </c>
      <c r="J11" s="14" t="s">
        <v>241</v>
      </c>
      <c r="K11" s="14" t="s">
        <v>238</v>
      </c>
    </row>
    <row r="12" spans="1:11" ht="60" customHeight="1" x14ac:dyDescent="0.2">
      <c r="A12" s="17">
        <v>8</v>
      </c>
      <c r="B12" s="14" t="s">
        <v>242</v>
      </c>
      <c r="C12" s="14" t="s">
        <v>196</v>
      </c>
      <c r="D12" s="31" t="s">
        <v>159</v>
      </c>
      <c r="E12" s="14" t="s">
        <v>159</v>
      </c>
      <c r="F12" s="14" t="s">
        <v>198</v>
      </c>
      <c r="G12" s="30" t="s">
        <v>22</v>
      </c>
      <c r="H12" s="14" t="s">
        <v>159</v>
      </c>
      <c r="I12" s="14" t="s">
        <v>116</v>
      </c>
      <c r="J12" s="14" t="s">
        <v>243</v>
      </c>
      <c r="K12" s="14" t="s">
        <v>238</v>
      </c>
    </row>
    <row r="15" spans="1:11" ht="21.75" customHeight="1" x14ac:dyDescent="0.2">
      <c r="B15" s="5" t="s">
        <v>244</v>
      </c>
      <c r="C15" s="5"/>
      <c r="D15" s="5"/>
    </row>
    <row r="16" spans="1:11" ht="36" customHeight="1" x14ac:dyDescent="0.2">
      <c r="B16" s="19" t="s">
        <v>14</v>
      </c>
      <c r="C16" s="19" t="s">
        <v>15</v>
      </c>
      <c r="D16" s="19" t="s">
        <v>245</v>
      </c>
    </row>
    <row r="17" spans="2:4" x14ac:dyDescent="0.2">
      <c r="B17" s="14" t="s">
        <v>17</v>
      </c>
      <c r="C17" s="17">
        <f>COUNTIF($G$5:$G$12,B17)</f>
        <v>4</v>
      </c>
      <c r="D17" s="32">
        <f>IF($C$20=0,0,C17/$C$20)</f>
        <v>0.5</v>
      </c>
    </row>
    <row r="18" spans="2:4" x14ac:dyDescent="0.2">
      <c r="B18" s="14" t="s">
        <v>20</v>
      </c>
      <c r="C18" s="17">
        <f>COUNTIF($G$5:$G$12,B18)</f>
        <v>1</v>
      </c>
      <c r="D18" s="32">
        <f>IF($C$20=0,0,C18/$C$20)</f>
        <v>0.125</v>
      </c>
    </row>
    <row r="19" spans="2:4" x14ac:dyDescent="0.2">
      <c r="B19" s="14" t="s">
        <v>22</v>
      </c>
      <c r="C19" s="17">
        <f>COUNTIF($G$5:$G$12,B19)</f>
        <v>3</v>
      </c>
      <c r="D19" s="32">
        <f>IF($C$20=0,0,C19/$C$20)</f>
        <v>0.375</v>
      </c>
    </row>
    <row r="20" spans="2:4" x14ac:dyDescent="0.2">
      <c r="B20" s="33" t="s">
        <v>132</v>
      </c>
      <c r="C20" s="34">
        <f>SUM(C17:C19)</f>
        <v>8</v>
      </c>
      <c r="D20" s="35">
        <f>SUM(D17:D19)</f>
        <v>1</v>
      </c>
    </row>
  </sheetData>
  <autoFilter ref="A4:K12" xr:uid="{00000000-0009-0000-0000-000003000000}"/>
  <mergeCells count="3">
    <mergeCell ref="A1:K1"/>
    <mergeCell ref="A2:K2"/>
    <mergeCell ref="B15:D15"/>
  </mergeCells>
  <hyperlinks>
    <hyperlink ref="H5" r:id="rId1" xr:uid="{00000000-0004-0000-0300-000000000000}"/>
    <hyperlink ref="H6" r:id="rId2" xr:uid="{00000000-0004-0000-0300-000001000000}"/>
    <hyperlink ref="H7" r:id="rId3" xr:uid="{00000000-0004-0000-0300-000002000000}"/>
    <hyperlink ref="H8" r:id="rId4" xr:uid="{00000000-0004-0000-0300-000003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'Líneas UCSUR'!$C$5:$C$41</xm:f>
          </x14:formula1>
          <x14:formula2>
            <xm:f>0</xm:f>
          </x14:formula2>
          <xm:sqref>I5:I12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7A"/>
    <pageSetUpPr fitToPage="1"/>
  </sheetPr>
  <dimension ref="A1:N33"/>
  <sheetViews>
    <sheetView zoomScaleNormal="100" workbookViewId="0">
      <pane xSplit="2" ySplit="4" topLeftCell="C5" activePane="bottomRight" state="frozen"/>
      <selection pane="topRight" activeCell="C1" sqref="C1"/>
      <selection pane="bottomLeft" activeCell="A5" sqref="A5"/>
      <selection pane="bottomRight" activeCell="A2" sqref="A2:N2"/>
    </sheetView>
  </sheetViews>
  <sheetFormatPr baseColWidth="10" defaultColWidth="8.6640625" defaultRowHeight="15" x14ac:dyDescent="0.2"/>
  <cols>
    <col min="1" max="1" width="5" customWidth="1"/>
    <col min="2" max="2" width="60" customWidth="1"/>
    <col min="3" max="4" width="26" customWidth="1"/>
    <col min="5" max="5" width="30" customWidth="1"/>
    <col min="6" max="6" width="10" customWidth="1"/>
    <col min="7" max="7" width="12" customWidth="1"/>
    <col min="8" max="8" width="16" customWidth="1"/>
    <col min="9" max="9" width="10" customWidth="1"/>
    <col min="10" max="11" width="11" customWidth="1"/>
    <col min="12" max="12" width="30" customWidth="1"/>
    <col min="13" max="13" width="18" customWidth="1"/>
    <col min="14" max="14" width="38" customWidth="1"/>
  </cols>
  <sheetData>
    <row r="1" spans="1:14" ht="27.75" customHeight="1" x14ac:dyDescent="0.2">
      <c r="A1" s="2" t="s">
        <v>246</v>
      </c>
      <c r="B1" s="2"/>
      <c r="C1" s="2"/>
      <c r="D1" s="2"/>
      <c r="E1" s="2"/>
      <c r="F1" s="2"/>
      <c r="G1" s="2"/>
      <c r="H1" s="2"/>
      <c r="I1" s="2"/>
      <c r="J1" s="2"/>
      <c r="K1" s="2"/>
      <c r="L1" s="2"/>
      <c r="M1" s="2"/>
      <c r="N1" s="2"/>
    </row>
    <row r="2" spans="1:14" ht="30" customHeight="1" x14ac:dyDescent="0.2">
      <c r="A2" s="1"/>
      <c r="B2" s="1"/>
      <c r="C2" s="1"/>
      <c r="D2" s="1"/>
      <c r="E2" s="1"/>
      <c r="F2" s="1"/>
      <c r="G2" s="1"/>
      <c r="H2" s="1"/>
      <c r="I2" s="1"/>
      <c r="J2" s="1"/>
      <c r="K2" s="1"/>
      <c r="L2" s="1"/>
      <c r="M2" s="1"/>
      <c r="N2" s="1"/>
    </row>
    <row r="4" spans="1:14" ht="36" customHeight="1" x14ac:dyDescent="0.2">
      <c r="A4" s="19" t="s">
        <v>15</v>
      </c>
      <c r="B4" s="19" t="s">
        <v>247</v>
      </c>
      <c r="C4" s="19" t="s">
        <v>248</v>
      </c>
      <c r="D4" s="19" t="s">
        <v>249</v>
      </c>
      <c r="E4" s="19" t="s">
        <v>250</v>
      </c>
      <c r="F4" s="19" t="s">
        <v>251</v>
      </c>
      <c r="G4" s="19" t="s">
        <v>252</v>
      </c>
      <c r="H4" s="19" t="s">
        <v>253</v>
      </c>
      <c r="I4" s="19" t="s">
        <v>254</v>
      </c>
      <c r="J4" s="19" t="s">
        <v>255</v>
      </c>
      <c r="K4" s="19" t="s">
        <v>256</v>
      </c>
      <c r="L4" s="19" t="s">
        <v>141</v>
      </c>
      <c r="M4" s="19" t="s">
        <v>142</v>
      </c>
      <c r="N4" s="19" t="s">
        <v>257</v>
      </c>
    </row>
    <row r="5" spans="1:14" ht="66" customHeight="1" x14ac:dyDescent="0.2">
      <c r="A5" s="17">
        <v>1</v>
      </c>
      <c r="B5" s="14" t="s">
        <v>258</v>
      </c>
      <c r="C5" s="14" t="s">
        <v>259</v>
      </c>
      <c r="D5" s="14" t="s">
        <v>201</v>
      </c>
      <c r="E5" s="14" t="s">
        <v>260</v>
      </c>
      <c r="F5" s="17" t="s">
        <v>261</v>
      </c>
      <c r="G5" s="31">
        <v>46102</v>
      </c>
      <c r="H5" s="17" t="str">
        <f t="shared" ref="H5:H15" si="0">IF(ISNUMBER(G5),"Registrada","Pendiente de registro")</f>
        <v>Registrada</v>
      </c>
      <c r="I5" s="36">
        <f>IF(ISNUMBER(G5),ROUND((Resumen!$C$5-G5)/365.25,1),"—")</f>
        <v>0.5</v>
      </c>
      <c r="J5" s="22" t="s">
        <v>163</v>
      </c>
      <c r="K5" s="22" t="s">
        <v>163</v>
      </c>
      <c r="L5" s="14" t="s">
        <v>116</v>
      </c>
      <c r="M5" s="14" t="str">
        <f>IFERROR(INDEX('Líneas UCSUR'!$B$5:$B$41,MATCH(L5,'Líneas UCSUR'!$C$5:$C$41,0)),"")</f>
        <v>Salud y bienestar</v>
      </c>
      <c r="N5" s="14" t="s">
        <v>159</v>
      </c>
    </row>
    <row r="6" spans="1:14" ht="66" customHeight="1" x14ac:dyDescent="0.2">
      <c r="A6" s="17">
        <v>2</v>
      </c>
      <c r="B6" s="14" t="s">
        <v>262</v>
      </c>
      <c r="C6" s="14" t="s">
        <v>263</v>
      </c>
      <c r="D6" s="14" t="s">
        <v>167</v>
      </c>
      <c r="E6" s="14" t="s">
        <v>32</v>
      </c>
      <c r="F6" s="17" t="s">
        <v>264</v>
      </c>
      <c r="G6" s="31">
        <v>46132</v>
      </c>
      <c r="H6" s="17" t="str">
        <f t="shared" si="0"/>
        <v>Registrada</v>
      </c>
      <c r="I6" s="36">
        <f>IF(ISNUMBER(G6),ROUND((Resumen!$C$5-G6)/365.25,1),"—")</f>
        <v>0.4</v>
      </c>
      <c r="J6" s="22" t="s">
        <v>163</v>
      </c>
      <c r="K6" s="22" t="s">
        <v>163</v>
      </c>
      <c r="L6" s="14" t="s">
        <v>117</v>
      </c>
      <c r="M6" s="14" t="str">
        <f>IFERROR(INDEX('Líneas UCSUR'!$B$5:$B$41,MATCH(L6,'Líneas UCSUR'!$C$5:$C$41,0)),"")</f>
        <v>Salud y bienestar</v>
      </c>
      <c r="N6" s="14" t="s">
        <v>265</v>
      </c>
    </row>
    <row r="7" spans="1:14" ht="66" customHeight="1" x14ac:dyDescent="0.2">
      <c r="A7" s="17">
        <v>3</v>
      </c>
      <c r="B7" s="14" t="s">
        <v>266</v>
      </c>
      <c r="C7" s="14" t="s">
        <v>267</v>
      </c>
      <c r="D7" s="14" t="s">
        <v>167</v>
      </c>
      <c r="E7" s="14" t="s">
        <v>32</v>
      </c>
      <c r="F7" s="17" t="s">
        <v>264</v>
      </c>
      <c r="G7" s="31" t="s">
        <v>268</v>
      </c>
      <c r="H7" s="17" t="str">
        <f t="shared" si="0"/>
        <v>Pendiente de registro</v>
      </c>
      <c r="I7" s="36" t="str">
        <f>IF(ISNUMBER(G7),ROUND((Resumen!$C$5-G7)/365.25,1),"—")</f>
        <v>—</v>
      </c>
      <c r="J7" s="22" t="s">
        <v>163</v>
      </c>
      <c r="K7" s="22" t="s">
        <v>163</v>
      </c>
      <c r="L7" s="14" t="s">
        <v>117</v>
      </c>
      <c r="M7" s="14" t="str">
        <f>IFERROR(INDEX('Líneas UCSUR'!$B$5:$B$41,MATCH(L7,'Líneas UCSUR'!$C$5:$C$41,0)),"")</f>
        <v>Salud y bienestar</v>
      </c>
      <c r="N7" s="14" t="s">
        <v>269</v>
      </c>
    </row>
    <row r="8" spans="1:14" ht="66" customHeight="1" x14ac:dyDescent="0.2">
      <c r="A8" s="17">
        <v>4</v>
      </c>
      <c r="B8" s="14" t="s">
        <v>270</v>
      </c>
      <c r="C8" s="14" t="s">
        <v>178</v>
      </c>
      <c r="D8" s="14" t="s">
        <v>271</v>
      </c>
      <c r="E8" s="14" t="s">
        <v>260</v>
      </c>
      <c r="F8" s="17" t="s">
        <v>261</v>
      </c>
      <c r="G8" s="31">
        <v>45391</v>
      </c>
      <c r="H8" s="17" t="str">
        <f t="shared" si="0"/>
        <v>Registrada</v>
      </c>
      <c r="I8" s="36">
        <f>IF(ISNUMBER(G8),ROUND((Resumen!$C$5-G8)/365.25,1),"—")</f>
        <v>2.5</v>
      </c>
      <c r="J8" s="22" t="s">
        <v>163</v>
      </c>
      <c r="K8" s="22" t="s">
        <v>163</v>
      </c>
      <c r="L8" s="14" t="s">
        <v>118</v>
      </c>
      <c r="M8" s="14" t="str">
        <f>IFERROR(INDEX('Líneas UCSUR'!$B$5:$B$41,MATCH(L8,'Líneas UCSUR'!$C$5:$C$41,0)),"")</f>
        <v>Salud y bienestar</v>
      </c>
      <c r="N8" s="14" t="s">
        <v>272</v>
      </c>
    </row>
    <row r="9" spans="1:14" ht="66" customHeight="1" x14ac:dyDescent="0.2">
      <c r="A9" s="17">
        <v>5</v>
      </c>
      <c r="B9" s="14" t="s">
        <v>273</v>
      </c>
      <c r="C9" s="14" t="s">
        <v>274</v>
      </c>
      <c r="D9" s="14" t="s">
        <v>275</v>
      </c>
      <c r="E9" s="14" t="s">
        <v>276</v>
      </c>
      <c r="F9" s="17" t="s">
        <v>261</v>
      </c>
      <c r="G9" s="31">
        <v>45940</v>
      </c>
      <c r="H9" s="17" t="str">
        <f t="shared" si="0"/>
        <v>Registrada</v>
      </c>
      <c r="I9" s="36">
        <f>IF(ISNUMBER(G9),ROUND((Resumen!$C$5-G9)/365.25,1),"—")</f>
        <v>1</v>
      </c>
      <c r="J9" s="22" t="s">
        <v>163</v>
      </c>
      <c r="K9" s="22" t="s">
        <v>163</v>
      </c>
      <c r="L9" s="14" t="s">
        <v>122</v>
      </c>
      <c r="M9" s="14" t="str">
        <f>IFERROR(INDEX('Líneas UCSUR'!$B$5:$B$41,MATCH(L9,'Líneas UCSUR'!$C$5:$C$41,0)),"")</f>
        <v>Salud y bienestar</v>
      </c>
      <c r="N9" s="14" t="s">
        <v>277</v>
      </c>
    </row>
    <row r="10" spans="1:14" ht="66" customHeight="1" x14ac:dyDescent="0.2">
      <c r="A10" s="17">
        <v>6</v>
      </c>
      <c r="B10" s="14" t="s">
        <v>278</v>
      </c>
      <c r="C10" s="14" t="s">
        <v>279</v>
      </c>
      <c r="D10" s="14" t="s">
        <v>275</v>
      </c>
      <c r="E10" s="14" t="s">
        <v>276</v>
      </c>
      <c r="F10" s="17" t="s">
        <v>261</v>
      </c>
      <c r="G10" s="31">
        <v>45940</v>
      </c>
      <c r="H10" s="17" t="str">
        <f t="shared" si="0"/>
        <v>Registrada</v>
      </c>
      <c r="I10" s="36">
        <f>IF(ISNUMBER(G10),ROUND((Resumen!$C$5-G10)/365.25,1),"—")</f>
        <v>1</v>
      </c>
      <c r="J10" s="22" t="s">
        <v>163</v>
      </c>
      <c r="K10" s="22" t="s">
        <v>163</v>
      </c>
      <c r="L10" s="14" t="s">
        <v>122</v>
      </c>
      <c r="M10" s="14" t="str">
        <f>IFERROR(INDEX('Líneas UCSUR'!$B$5:$B$41,MATCH(L10,'Líneas UCSUR'!$C$5:$C$41,0)),"")</f>
        <v>Salud y bienestar</v>
      </c>
      <c r="N10" s="14" t="s">
        <v>280</v>
      </c>
    </row>
    <row r="11" spans="1:14" ht="66" customHeight="1" x14ac:dyDescent="0.2">
      <c r="A11" s="17">
        <v>7</v>
      </c>
      <c r="B11" s="14" t="s">
        <v>281</v>
      </c>
      <c r="C11" s="14" t="s">
        <v>282</v>
      </c>
      <c r="D11" s="14" t="s">
        <v>271</v>
      </c>
      <c r="E11" s="14" t="s">
        <v>260</v>
      </c>
      <c r="F11" s="17" t="s">
        <v>261</v>
      </c>
      <c r="G11" s="31">
        <v>45272</v>
      </c>
      <c r="H11" s="17" t="str">
        <f t="shared" si="0"/>
        <v>Registrada</v>
      </c>
      <c r="I11" s="36">
        <f>IF(ISNUMBER(G11),ROUND((Resumen!$C$5-G11)/365.25,1),"—")</f>
        <v>2.8</v>
      </c>
      <c r="J11" s="22" t="s">
        <v>163</v>
      </c>
      <c r="K11" s="22" t="s">
        <v>163</v>
      </c>
      <c r="L11" s="14" t="s">
        <v>122</v>
      </c>
      <c r="M11" s="14" t="str">
        <f>IFERROR(INDEX('Líneas UCSUR'!$B$5:$B$41,MATCH(L11,'Líneas UCSUR'!$C$5:$C$41,0)),"")</f>
        <v>Salud y bienestar</v>
      </c>
      <c r="N11" s="14" t="s">
        <v>159</v>
      </c>
    </row>
    <row r="12" spans="1:14" ht="66" customHeight="1" x14ac:dyDescent="0.2">
      <c r="A12" s="17">
        <v>8</v>
      </c>
      <c r="B12" s="14" t="s">
        <v>283</v>
      </c>
      <c r="C12" s="14" t="s">
        <v>284</v>
      </c>
      <c r="D12" s="14" t="s">
        <v>271</v>
      </c>
      <c r="E12" s="14" t="s">
        <v>276</v>
      </c>
      <c r="F12" s="17" t="s">
        <v>261</v>
      </c>
      <c r="G12" s="31" t="s">
        <v>268</v>
      </c>
      <c r="H12" s="17" t="str">
        <f t="shared" si="0"/>
        <v>Pendiente de registro</v>
      </c>
      <c r="I12" s="36" t="str">
        <f>IF(ISNUMBER(G12),ROUND((Resumen!$C$5-G12)/365.25,1),"—")</f>
        <v>—</v>
      </c>
      <c r="J12" s="22" t="s">
        <v>163</v>
      </c>
      <c r="K12" s="22" t="s">
        <v>163</v>
      </c>
      <c r="L12" s="14" t="s">
        <v>115</v>
      </c>
      <c r="M12" s="14" t="str">
        <f>IFERROR(INDEX('Líneas UCSUR'!$B$5:$B$41,MATCH(L12,'Líneas UCSUR'!$C$5:$C$41,0)),"")</f>
        <v>Salud y bienestar</v>
      </c>
      <c r="N12" s="14" t="s">
        <v>285</v>
      </c>
    </row>
    <row r="13" spans="1:14" ht="66" customHeight="1" x14ac:dyDescent="0.2">
      <c r="A13" s="17">
        <v>9</v>
      </c>
      <c r="B13" s="14" t="s">
        <v>286</v>
      </c>
      <c r="C13" s="14" t="s">
        <v>287</v>
      </c>
      <c r="D13" s="14" t="s">
        <v>288</v>
      </c>
      <c r="E13" s="14" t="s">
        <v>34</v>
      </c>
      <c r="F13" s="17" t="s">
        <v>264</v>
      </c>
      <c r="G13" s="31">
        <v>45972</v>
      </c>
      <c r="H13" s="17" t="str">
        <f t="shared" si="0"/>
        <v>Registrada</v>
      </c>
      <c r="I13" s="36">
        <f>IF(ISNUMBER(G13),ROUND((Resumen!$C$5-G13)/365.25,1),"—")</f>
        <v>0.9</v>
      </c>
      <c r="J13" s="22" t="s">
        <v>163</v>
      </c>
      <c r="K13" s="22" t="s">
        <v>163</v>
      </c>
      <c r="L13" s="14" t="s">
        <v>117</v>
      </c>
      <c r="M13" s="14" t="str">
        <f>IFERROR(INDEX('Líneas UCSUR'!$B$5:$B$41,MATCH(L13,'Líneas UCSUR'!$C$5:$C$41,0)),"")</f>
        <v>Salud y bienestar</v>
      </c>
      <c r="N13" s="14" t="s">
        <v>159</v>
      </c>
    </row>
    <row r="14" spans="1:14" ht="66" customHeight="1" x14ac:dyDescent="0.2">
      <c r="A14" s="17">
        <v>10</v>
      </c>
      <c r="B14" s="14" t="s">
        <v>289</v>
      </c>
      <c r="C14" s="14" t="s">
        <v>290</v>
      </c>
      <c r="D14" s="14" t="s">
        <v>291</v>
      </c>
      <c r="E14" s="14" t="s">
        <v>260</v>
      </c>
      <c r="F14" s="17" t="s">
        <v>261</v>
      </c>
      <c r="G14" s="31">
        <v>44921</v>
      </c>
      <c r="H14" s="17" t="str">
        <f t="shared" si="0"/>
        <v>Registrada</v>
      </c>
      <c r="I14" s="36">
        <f>IF(ISNUMBER(G14),ROUND((Resumen!$C$5-G14)/365.25,1),"—")</f>
        <v>3.7</v>
      </c>
      <c r="J14" s="22" t="s">
        <v>163</v>
      </c>
      <c r="K14" s="22" t="s">
        <v>163</v>
      </c>
      <c r="L14" s="14" t="s">
        <v>130</v>
      </c>
      <c r="M14" s="14" t="str">
        <f>IFERROR(INDEX('Líneas UCSUR'!$B$5:$B$41,MATCH(L14,'Líneas UCSUR'!$C$5:$C$41,0)),"")</f>
        <v>Sociedad y ciudadanía</v>
      </c>
      <c r="N14" s="14" t="s">
        <v>159</v>
      </c>
    </row>
    <row r="15" spans="1:14" ht="66" customHeight="1" x14ac:dyDescent="0.2">
      <c r="A15" s="17">
        <v>11</v>
      </c>
      <c r="B15" s="14" t="s">
        <v>292</v>
      </c>
      <c r="C15" s="14" t="s">
        <v>293</v>
      </c>
      <c r="D15" s="14" t="s">
        <v>294</v>
      </c>
      <c r="E15" s="14" t="s">
        <v>260</v>
      </c>
      <c r="F15" s="17" t="s">
        <v>261</v>
      </c>
      <c r="G15" s="31">
        <v>46264</v>
      </c>
      <c r="H15" s="17" t="str">
        <f t="shared" si="0"/>
        <v>Registrada</v>
      </c>
      <c r="I15" s="36">
        <f>IF(ISNUMBER(G15),ROUND((Resumen!$C$5-G15)/365.25,1),"—")</f>
        <v>0.1</v>
      </c>
      <c r="J15" s="22" t="s">
        <v>163</v>
      </c>
      <c r="K15" s="22" t="s">
        <v>163</v>
      </c>
      <c r="L15" s="14" t="s">
        <v>121</v>
      </c>
      <c r="M15" s="14" t="str">
        <f>IFERROR(INDEX('Líneas UCSUR'!$B$5:$B$41,MATCH(L15,'Líneas UCSUR'!$C$5:$C$41,0)),"")</f>
        <v>Salud y bienestar</v>
      </c>
      <c r="N15" s="14" t="s">
        <v>159</v>
      </c>
    </row>
    <row r="16" spans="1:14" x14ac:dyDescent="0.2">
      <c r="B16" s="21" t="s">
        <v>295</v>
      </c>
    </row>
    <row r="18" spans="2:4" ht="21.75" customHeight="1" x14ac:dyDescent="0.2">
      <c r="B18" s="5" t="s">
        <v>296</v>
      </c>
      <c r="C18" s="5"/>
      <c r="D18" s="5"/>
    </row>
    <row r="19" spans="2:4" ht="36" customHeight="1" x14ac:dyDescent="0.2">
      <c r="B19" s="19" t="s">
        <v>250</v>
      </c>
      <c r="C19" s="19" t="s">
        <v>297</v>
      </c>
      <c r="D19" s="19" t="s">
        <v>298</v>
      </c>
    </row>
    <row r="20" spans="2:4" x14ac:dyDescent="0.2">
      <c r="B20" s="14" t="s">
        <v>260</v>
      </c>
      <c r="C20" s="17">
        <f>COUNTIF($E$5:$E$15,B20)</f>
        <v>5</v>
      </c>
      <c r="D20" s="17">
        <f>COUNTIFS($E$5:$E$15,B20,$H$5:$H$15,"Registrada")</f>
        <v>5</v>
      </c>
    </row>
    <row r="21" spans="2:4" x14ac:dyDescent="0.2">
      <c r="B21" s="14" t="s">
        <v>276</v>
      </c>
      <c r="C21" s="17">
        <f>COUNTIF($E$5:$E$15,B21)</f>
        <v>3</v>
      </c>
      <c r="D21" s="17">
        <f>COUNTIFS($E$5:$E$15,B21,$H$5:$H$15,"Registrada")</f>
        <v>2</v>
      </c>
    </row>
    <row r="22" spans="2:4" x14ac:dyDescent="0.2">
      <c r="B22" s="14" t="s">
        <v>32</v>
      </c>
      <c r="C22" s="17">
        <f>COUNTIF($E$5:$E$15,B22)</f>
        <v>2</v>
      </c>
      <c r="D22" s="17">
        <f>COUNTIFS($E$5:$E$15,B22,$H$5:$H$15,"Registrada")</f>
        <v>1</v>
      </c>
    </row>
    <row r="23" spans="2:4" x14ac:dyDescent="0.2">
      <c r="B23" s="14" t="s">
        <v>34</v>
      </c>
      <c r="C23" s="17">
        <f>COUNTIF($E$5:$E$15,B23)</f>
        <v>1</v>
      </c>
      <c r="D23" s="17">
        <f>COUNTIFS($E$5:$E$15,B23,$H$5:$H$15,"Registrada")</f>
        <v>1</v>
      </c>
    </row>
    <row r="24" spans="2:4" x14ac:dyDescent="0.2">
      <c r="B24" s="33" t="s">
        <v>132</v>
      </c>
      <c r="C24" s="34">
        <f>SUM(C20:C23)</f>
        <v>11</v>
      </c>
      <c r="D24" s="34">
        <f>SUM(D20:D23)</f>
        <v>9</v>
      </c>
    </row>
    <row r="26" spans="2:4" ht="36" customHeight="1" x14ac:dyDescent="0.2">
      <c r="B26" s="19" t="s">
        <v>249</v>
      </c>
      <c r="C26" s="19" t="s">
        <v>299</v>
      </c>
    </row>
    <row r="27" spans="2:4" x14ac:dyDescent="0.2">
      <c r="B27" s="14" t="s">
        <v>271</v>
      </c>
      <c r="C27" s="17">
        <f t="shared" ref="C27:C33" si="1">COUNTIF($D$5:$D$15,B27)</f>
        <v>3</v>
      </c>
    </row>
    <row r="28" spans="2:4" x14ac:dyDescent="0.2">
      <c r="B28" s="14" t="s">
        <v>275</v>
      </c>
      <c r="C28" s="17">
        <f t="shared" si="1"/>
        <v>2</v>
      </c>
    </row>
    <row r="29" spans="2:4" x14ac:dyDescent="0.2">
      <c r="B29" s="14" t="s">
        <v>167</v>
      </c>
      <c r="C29" s="17">
        <f t="shared" si="1"/>
        <v>2</v>
      </c>
    </row>
    <row r="30" spans="2:4" x14ac:dyDescent="0.2">
      <c r="B30" s="14" t="s">
        <v>201</v>
      </c>
      <c r="C30" s="17">
        <f t="shared" si="1"/>
        <v>1</v>
      </c>
    </row>
    <row r="31" spans="2:4" x14ac:dyDescent="0.2">
      <c r="B31" s="14" t="s">
        <v>291</v>
      </c>
      <c r="C31" s="17">
        <f t="shared" si="1"/>
        <v>1</v>
      </c>
    </row>
    <row r="32" spans="2:4" x14ac:dyDescent="0.2">
      <c r="B32" s="14" t="s">
        <v>288</v>
      </c>
      <c r="C32" s="17">
        <f t="shared" si="1"/>
        <v>1</v>
      </c>
    </row>
    <row r="33" spans="2:3" x14ac:dyDescent="0.2">
      <c r="B33" s="14" t="s">
        <v>294</v>
      </c>
      <c r="C33" s="17">
        <f t="shared" si="1"/>
        <v>1</v>
      </c>
    </row>
  </sheetData>
  <autoFilter ref="A4:N15" xr:uid="{00000000-0009-0000-0000-000004000000}"/>
  <mergeCells count="3">
    <mergeCell ref="A1:N1"/>
    <mergeCell ref="A2:N2"/>
    <mergeCell ref="B18:D18"/>
  </mergeCells>
  <conditionalFormatting sqref="H5:H15">
    <cfRule type="cellIs" dxfId="3" priority="2" operator="equal">
      <formula>"Registrada"</formula>
    </cfRule>
    <cfRule type="cellIs" dxfId="2" priority="3" operator="equal">
      <formula>"Pendiente de registro"</formula>
    </cfRule>
  </conditionalFormatting>
  <conditionalFormatting sqref="I5:I15">
    <cfRule type="cellIs" dxfId="1" priority="4" operator="greaterThanOrEqual">
      <formula>2</formula>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0000000}">
          <x14:formula1>
            <xm:f>'Líneas UCSUR'!$C$5:$C$41</xm:f>
          </x14:formula1>
          <x14:formula2>
            <xm:f>0</xm:f>
          </x14:formula2>
          <xm:sqref>L5:L15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D7A"/>
    <pageSetUpPr fitToPage="1"/>
  </sheetPr>
  <dimension ref="A1:K11"/>
  <sheetViews>
    <sheetView zoomScaleNormal="100" workbookViewId="0">
      <selection activeCell="A2" sqref="A2:K2"/>
    </sheetView>
  </sheetViews>
  <sheetFormatPr baseColWidth="10" defaultColWidth="8.6640625" defaultRowHeight="15" x14ac:dyDescent="0.2"/>
  <cols>
    <col min="1" max="1" width="5" customWidth="1"/>
    <col min="2" max="2" width="40" customWidth="1"/>
    <col min="3" max="3" width="50" customWidth="1"/>
    <col min="4" max="4" width="22" customWidth="1"/>
    <col min="5" max="5" width="28" customWidth="1"/>
    <col min="6" max="6" width="16" customWidth="1"/>
    <col min="7" max="7" width="12" customWidth="1"/>
    <col min="8" max="8" width="22" customWidth="1"/>
    <col min="9" max="9" width="30" customWidth="1"/>
    <col min="10" max="10" width="20" customWidth="1"/>
    <col min="11" max="11" width="26" customWidth="1"/>
  </cols>
  <sheetData>
    <row r="1" spans="1:11" ht="27.75" customHeight="1" x14ac:dyDescent="0.2">
      <c r="A1" s="2" t="s">
        <v>50</v>
      </c>
      <c r="B1" s="2"/>
      <c r="C1" s="2"/>
      <c r="D1" s="2"/>
      <c r="E1" s="2"/>
      <c r="F1" s="2"/>
      <c r="G1" s="2"/>
      <c r="H1" s="2"/>
      <c r="I1" s="2"/>
      <c r="J1" s="2"/>
      <c r="K1" s="2"/>
    </row>
    <row r="2" spans="1:11" ht="30" customHeight="1" x14ac:dyDescent="0.2">
      <c r="A2" s="1"/>
      <c r="B2" s="1"/>
      <c r="C2" s="1"/>
      <c r="D2" s="1"/>
      <c r="E2" s="1"/>
      <c r="F2" s="1"/>
      <c r="G2" s="1"/>
      <c r="H2" s="1"/>
      <c r="I2" s="1"/>
      <c r="J2" s="1"/>
      <c r="K2" s="1"/>
    </row>
    <row r="4" spans="1:11" ht="36" customHeight="1" x14ac:dyDescent="0.2">
      <c r="A4" s="19" t="s">
        <v>15</v>
      </c>
      <c r="B4" s="19" t="s">
        <v>300</v>
      </c>
      <c r="C4" s="19" t="s">
        <v>301</v>
      </c>
      <c r="D4" s="19" t="s">
        <v>138</v>
      </c>
      <c r="E4" s="19" t="s">
        <v>302</v>
      </c>
      <c r="F4" s="19" t="s">
        <v>303</v>
      </c>
      <c r="G4" s="19" t="s">
        <v>304</v>
      </c>
      <c r="H4" s="19" t="s">
        <v>305</v>
      </c>
      <c r="I4" s="19" t="s">
        <v>141</v>
      </c>
      <c r="J4" s="19" t="s">
        <v>306</v>
      </c>
      <c r="K4" s="19" t="s">
        <v>307</v>
      </c>
    </row>
    <row r="5" spans="1:11" ht="60" customHeight="1" x14ac:dyDescent="0.2">
      <c r="A5" s="17">
        <v>1</v>
      </c>
      <c r="B5" s="14" t="s">
        <v>308</v>
      </c>
      <c r="C5" s="14" t="s">
        <v>309</v>
      </c>
      <c r="D5" s="14" t="s">
        <v>291</v>
      </c>
      <c r="E5" s="14" t="s">
        <v>310</v>
      </c>
      <c r="F5" s="23" t="s">
        <v>163</v>
      </c>
      <c r="G5" s="31">
        <v>46077</v>
      </c>
      <c r="H5" s="14" t="s">
        <v>311</v>
      </c>
      <c r="I5" s="14" t="s">
        <v>117</v>
      </c>
      <c r="J5" s="14" t="s">
        <v>312</v>
      </c>
      <c r="K5" s="27" t="s">
        <v>313</v>
      </c>
    </row>
    <row r="8" spans="1:11" ht="21.75" customHeight="1" x14ac:dyDescent="0.2">
      <c r="B8" s="5" t="s">
        <v>314</v>
      </c>
      <c r="C8" s="5"/>
      <c r="D8" s="5"/>
      <c r="E8" s="5"/>
      <c r="F8" s="5"/>
    </row>
    <row r="9" spans="1:11" ht="36" customHeight="1" x14ac:dyDescent="0.2">
      <c r="B9" s="19" t="s">
        <v>315</v>
      </c>
      <c r="C9" s="19" t="s">
        <v>138</v>
      </c>
      <c r="D9" s="19" t="s">
        <v>316</v>
      </c>
      <c r="E9" s="19" t="s">
        <v>14</v>
      </c>
      <c r="F9" s="19" t="s">
        <v>317</v>
      </c>
    </row>
    <row r="10" spans="1:11" ht="60" customHeight="1" x14ac:dyDescent="0.2">
      <c r="B10" s="14" t="str">
        <f>'Proyectos 2026'!B12</f>
        <v>Caracterización molecular, fenotípica y clonogénica de un inhibidor dual EGFR/PI3K identificado mediante virtual screening y de la terapia combinada sinérgica como estrategia de vulnerabilidad sintética in vitro en cáncer de mama triple negativo</v>
      </c>
      <c r="C10" s="14" t="str">
        <f>'Proyectos 2026'!C12</f>
        <v>Richard Zapata Dongo</v>
      </c>
      <c r="D10" s="14" t="str">
        <f>'Proyectos 2026'!H12</f>
        <v>En concurso «Semilla Cabieses»</v>
      </c>
      <c r="E10" s="27" t="s">
        <v>313</v>
      </c>
      <c r="F10" s="14" t="s">
        <v>318</v>
      </c>
    </row>
    <row r="11" spans="1:11" ht="60" customHeight="1" x14ac:dyDescent="0.2">
      <c r="B11" s="14" t="str">
        <f>'Proyectos 2026'!B13</f>
        <v>Identificación biocomputacional de un sitio alostérico en la oncoproteína ALK con potencial inhibitorio empleando el reposicionamiento farmacológico como estrategia para eludir la resistencia en cáncer de pulmón de células no pequeñas (CPCNP)</v>
      </c>
      <c r="C11" s="14" t="str">
        <f>'Proyectos 2026'!C13</f>
        <v>Pedro Ruiz Campos; Richard Zapata Dongo</v>
      </c>
      <c r="D11" s="14" t="str">
        <f>'Proyectos 2026'!H13</f>
        <v>En concurso «Semilla Cabieses»</v>
      </c>
      <c r="E11" s="27" t="s">
        <v>313</v>
      </c>
      <c r="F11" s="14" t="s">
        <v>319</v>
      </c>
    </row>
  </sheetData>
  <mergeCells count="3">
    <mergeCell ref="A1:K1"/>
    <mergeCell ref="A2:K2"/>
    <mergeCell ref="B8:F8"/>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D7A"/>
    <pageSetUpPr fitToPage="1"/>
  </sheetPr>
  <dimension ref="A1:H26"/>
  <sheetViews>
    <sheetView zoomScaleNormal="100" workbookViewId="0">
      <selection activeCell="B12" sqref="B12"/>
    </sheetView>
  </sheetViews>
  <sheetFormatPr baseColWidth="10" defaultColWidth="8.6640625" defaultRowHeight="15" x14ac:dyDescent="0.2"/>
  <cols>
    <col min="1" max="1" width="5" customWidth="1"/>
    <col min="2" max="2" width="48" customWidth="1"/>
    <col min="3" max="3" width="40" customWidth="1"/>
    <col min="4" max="5" width="30" customWidth="1"/>
    <col min="6" max="6" width="14" customWidth="1"/>
    <col min="7" max="7" width="18" customWidth="1"/>
    <col min="8" max="8" width="14" customWidth="1"/>
  </cols>
  <sheetData>
    <row r="1" spans="1:8" ht="27.75" customHeight="1" x14ac:dyDescent="0.2">
      <c r="A1" s="2" t="s">
        <v>320</v>
      </c>
      <c r="B1" s="2"/>
      <c r="C1" s="2"/>
      <c r="D1" s="2"/>
      <c r="E1" s="2"/>
      <c r="F1" s="2"/>
      <c r="G1" s="2"/>
      <c r="H1" s="2"/>
    </row>
    <row r="2" spans="1:8" ht="30" customHeight="1" x14ac:dyDescent="0.2">
      <c r="A2" s="1"/>
      <c r="B2" s="1"/>
      <c r="C2" s="1"/>
      <c r="D2" s="1"/>
      <c r="E2" s="1"/>
      <c r="F2" s="1"/>
      <c r="G2" s="1"/>
      <c r="H2" s="1"/>
    </row>
    <row r="4" spans="1:8" ht="36" customHeight="1" x14ac:dyDescent="0.2">
      <c r="A4" s="19" t="s">
        <v>15</v>
      </c>
      <c r="B4" s="19" t="s">
        <v>321</v>
      </c>
      <c r="C4" s="19" t="s">
        <v>322</v>
      </c>
      <c r="D4" s="19" t="s">
        <v>323</v>
      </c>
      <c r="E4" s="19" t="s">
        <v>324</v>
      </c>
      <c r="F4" s="19" t="s">
        <v>325</v>
      </c>
      <c r="G4" s="19" t="s">
        <v>326</v>
      </c>
      <c r="H4" s="19" t="s">
        <v>327</v>
      </c>
    </row>
    <row r="5" spans="1:8" x14ac:dyDescent="0.2">
      <c r="A5" s="37"/>
      <c r="B5" s="37"/>
      <c r="C5" s="37"/>
      <c r="D5" s="37"/>
      <c r="E5" s="37"/>
      <c r="F5" s="38"/>
      <c r="G5" s="38"/>
      <c r="H5" s="38"/>
    </row>
    <row r="6" spans="1:8" x14ac:dyDescent="0.2">
      <c r="A6" s="37"/>
      <c r="B6" s="37"/>
      <c r="C6" s="37"/>
      <c r="D6" s="37"/>
      <c r="E6" s="37"/>
      <c r="F6" s="38"/>
      <c r="G6" s="38"/>
      <c r="H6" s="38"/>
    </row>
    <row r="7" spans="1:8" x14ac:dyDescent="0.2">
      <c r="A7" s="37"/>
      <c r="B7" s="37"/>
      <c r="C7" s="37"/>
      <c r="D7" s="37"/>
      <c r="E7" s="37"/>
      <c r="F7" s="38"/>
      <c r="G7" s="38"/>
      <c r="H7" s="38"/>
    </row>
    <row r="8" spans="1:8" x14ac:dyDescent="0.2">
      <c r="A8" s="37"/>
      <c r="B8" s="37"/>
      <c r="C8" s="37"/>
      <c r="D8" s="37"/>
      <c r="E8" s="37"/>
      <c r="F8" s="38"/>
      <c r="G8" s="38"/>
      <c r="H8" s="38"/>
    </row>
    <row r="9" spans="1:8" x14ac:dyDescent="0.2">
      <c r="A9" s="37"/>
      <c r="B9" s="37"/>
      <c r="C9" s="37"/>
      <c r="D9" s="37"/>
      <c r="E9" s="37"/>
      <c r="F9" s="38"/>
      <c r="G9" s="38"/>
      <c r="H9" s="38"/>
    </row>
    <row r="10" spans="1:8" x14ac:dyDescent="0.2">
      <c r="A10" s="37"/>
      <c r="B10" s="37"/>
      <c r="C10" s="37"/>
      <c r="D10" s="37"/>
      <c r="E10" s="37"/>
      <c r="F10" s="38"/>
      <c r="G10" s="38"/>
      <c r="H10" s="38"/>
    </row>
    <row r="12" spans="1:8" x14ac:dyDescent="0.2">
      <c r="B12" s="21"/>
    </row>
    <row r="14" spans="1:8" ht="21.75" customHeight="1" x14ac:dyDescent="0.2">
      <c r="B14" s="5" t="s">
        <v>328</v>
      </c>
      <c r="C14" s="5"/>
      <c r="D14" s="5"/>
    </row>
    <row r="15" spans="1:8" ht="36" customHeight="1" x14ac:dyDescent="0.2">
      <c r="B15" s="19" t="s">
        <v>11</v>
      </c>
      <c r="C15" s="19" t="s">
        <v>15</v>
      </c>
      <c r="D15" s="19" t="s">
        <v>329</v>
      </c>
    </row>
    <row r="16" spans="1:8" x14ac:dyDescent="0.2">
      <c r="B16" s="14" t="s">
        <v>330</v>
      </c>
      <c r="C16" s="17">
        <f>COUNTA(B5:B10)</f>
        <v>0</v>
      </c>
      <c r="D16" s="14" t="s">
        <v>331</v>
      </c>
    </row>
    <row r="17" spans="2:5" x14ac:dyDescent="0.2">
      <c r="B17" s="14" t="s">
        <v>332</v>
      </c>
      <c r="C17" s="17">
        <f>COUNTIFS('Proyectos 2026'!T5:T14,"&lt;&gt;Por registrar",'Proyectos 2026'!T5:T14,"&lt;&gt;")</f>
        <v>0</v>
      </c>
      <c r="D17" s="14" t="s">
        <v>333</v>
      </c>
    </row>
    <row r="18" spans="2:5" x14ac:dyDescent="0.2">
      <c r="B18" s="14" t="s">
        <v>334</v>
      </c>
      <c r="C18" s="17">
        <f>COUNTIFS('Proyectos 2026'!U5:U14,"&lt;&gt;Por registrar",'Proyectos 2026'!U5:U14,"&lt;&gt;")</f>
        <v>0</v>
      </c>
      <c r="D18" s="14" t="s">
        <v>335</v>
      </c>
    </row>
    <row r="19" spans="2:5" x14ac:dyDescent="0.2">
      <c r="B19" s="14" t="s">
        <v>336</v>
      </c>
      <c r="C19" s="17">
        <f>COUNTIF('Proyectos 2026'!S5:S14,"Publicado")+COUNTIF('Proyectos 2026'!S5:S14,"Aceptado")+COUNTIF('Proyectos 2026'!S5:S14,"Sometido")</f>
        <v>6</v>
      </c>
      <c r="D19" s="14" t="s">
        <v>337</v>
      </c>
    </row>
    <row r="21" spans="2:5" ht="21.75" customHeight="1" x14ac:dyDescent="0.2">
      <c r="B21" s="5" t="s">
        <v>338</v>
      </c>
      <c r="C21" s="5"/>
      <c r="D21" s="5"/>
      <c r="E21" s="5"/>
    </row>
    <row r="22" spans="2:5" ht="36" customHeight="1" x14ac:dyDescent="0.2">
      <c r="B22" s="19" t="s">
        <v>339</v>
      </c>
      <c r="C22" s="19" t="s">
        <v>340</v>
      </c>
      <c r="D22" s="19" t="s">
        <v>341</v>
      </c>
      <c r="E22" s="19" t="s">
        <v>342</v>
      </c>
    </row>
    <row r="23" spans="2:5" ht="45" customHeight="1" x14ac:dyDescent="0.2">
      <c r="B23" s="14" t="s">
        <v>343</v>
      </c>
      <c r="C23" s="14" t="s">
        <v>344</v>
      </c>
      <c r="D23" s="14" t="s">
        <v>345</v>
      </c>
      <c r="E23" s="14" t="s">
        <v>155</v>
      </c>
    </row>
    <row r="24" spans="2:5" ht="45" customHeight="1" x14ac:dyDescent="0.2">
      <c r="B24" s="14" t="s">
        <v>346</v>
      </c>
      <c r="C24" s="14" t="s">
        <v>347</v>
      </c>
      <c r="D24" s="14" t="s">
        <v>178</v>
      </c>
      <c r="E24" s="14" t="s">
        <v>155</v>
      </c>
    </row>
    <row r="25" spans="2:5" ht="45" customHeight="1" x14ac:dyDescent="0.2">
      <c r="B25" s="14" t="s">
        <v>348</v>
      </c>
      <c r="C25" s="14" t="s">
        <v>349</v>
      </c>
      <c r="D25" s="14" t="s">
        <v>350</v>
      </c>
      <c r="E25" s="14" t="s">
        <v>351</v>
      </c>
    </row>
    <row r="26" spans="2:5" ht="45" customHeight="1" x14ac:dyDescent="0.2">
      <c r="B26" s="14" t="s">
        <v>352</v>
      </c>
      <c r="C26" s="14" t="s">
        <v>353</v>
      </c>
      <c r="D26" s="14" t="s">
        <v>201</v>
      </c>
      <c r="E26" s="14" t="s">
        <v>155</v>
      </c>
    </row>
  </sheetData>
  <mergeCells count="4">
    <mergeCell ref="A1:H1"/>
    <mergeCell ref="A2:H2"/>
    <mergeCell ref="B14:D14"/>
    <mergeCell ref="B21:E21"/>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7A"/>
    <pageSetUpPr fitToPage="1"/>
  </sheetPr>
  <dimension ref="A1:L36"/>
  <sheetViews>
    <sheetView zoomScaleNormal="100" workbookViewId="0">
      <pane xSplit="2" ySplit="4" topLeftCell="C5" activePane="bottomRight" state="frozen"/>
      <selection pane="topRight" activeCell="C1" sqref="C1"/>
      <selection pane="bottomLeft" activeCell="A5" sqref="A5"/>
      <selection pane="bottomRight" activeCell="A2" sqref="A2:L2"/>
    </sheetView>
  </sheetViews>
  <sheetFormatPr baseColWidth="10" defaultColWidth="8.6640625" defaultRowHeight="15" x14ac:dyDescent="0.2"/>
  <cols>
    <col min="1" max="1" width="5" customWidth="1"/>
    <col min="2" max="2" width="34" customWidth="1"/>
    <col min="3" max="3" width="18" customWidth="1"/>
    <col min="4" max="4" width="32" customWidth="1"/>
    <col min="5" max="5" width="10" customWidth="1"/>
    <col min="6" max="7" width="12" customWidth="1"/>
    <col min="8" max="9" width="10" customWidth="1"/>
    <col min="10" max="10" width="12" customWidth="1"/>
    <col min="11" max="11" width="13" customWidth="1"/>
    <col min="12" max="12" width="20" customWidth="1"/>
  </cols>
  <sheetData>
    <row r="1" spans="1:12" ht="27.75" customHeight="1" x14ac:dyDescent="0.2">
      <c r="A1" s="2" t="s">
        <v>354</v>
      </c>
      <c r="B1" s="2"/>
      <c r="C1" s="2"/>
      <c r="D1" s="2"/>
      <c r="E1" s="2"/>
      <c r="F1" s="2"/>
      <c r="G1" s="2"/>
      <c r="H1" s="2"/>
      <c r="I1" s="2"/>
      <c r="J1" s="2"/>
      <c r="K1" s="2"/>
      <c r="L1" s="2"/>
    </row>
    <row r="2" spans="1:12" ht="30" customHeight="1" x14ac:dyDescent="0.2">
      <c r="A2" s="1"/>
      <c r="B2" s="1"/>
      <c r="C2" s="1"/>
      <c r="D2" s="1"/>
      <c r="E2" s="1"/>
      <c r="F2" s="1"/>
      <c r="G2" s="1"/>
      <c r="H2" s="1"/>
      <c r="I2" s="1"/>
      <c r="J2" s="1"/>
      <c r="K2" s="1"/>
      <c r="L2" s="1"/>
    </row>
    <row r="4" spans="1:12" ht="36" customHeight="1" x14ac:dyDescent="0.2">
      <c r="A4" s="19" t="s">
        <v>15</v>
      </c>
      <c r="B4" s="19" t="s">
        <v>355</v>
      </c>
      <c r="C4" s="19" t="s">
        <v>356</v>
      </c>
      <c r="D4" s="19" t="s">
        <v>357</v>
      </c>
      <c r="E4" s="19" t="s">
        <v>358</v>
      </c>
      <c r="F4" s="19" t="s">
        <v>359</v>
      </c>
      <c r="G4" s="19" t="s">
        <v>87</v>
      </c>
      <c r="H4" s="19" t="s">
        <v>360</v>
      </c>
      <c r="I4" s="19" t="s">
        <v>361</v>
      </c>
      <c r="J4" s="19" t="s">
        <v>51</v>
      </c>
      <c r="K4" s="19" t="s">
        <v>362</v>
      </c>
      <c r="L4" s="19" t="s">
        <v>363</v>
      </c>
    </row>
    <row r="5" spans="1:12" x14ac:dyDescent="0.2">
      <c r="A5" s="14">
        <v>1</v>
      </c>
      <c r="B5" s="14" t="s">
        <v>178</v>
      </c>
      <c r="C5" s="14" t="s">
        <v>364</v>
      </c>
      <c r="D5" s="14" t="s">
        <v>365</v>
      </c>
      <c r="E5" s="17">
        <f>COUNTIF('Proyectos 2026'!$C$5:$C$14,"*"&amp;C5&amp;"*")</f>
        <v>2</v>
      </c>
      <c r="F5" s="17">
        <f>COUNTIF('Proyectos 2026'!$D$5:$D$14,"*"&amp;C5&amp;"*")</f>
        <v>2</v>
      </c>
      <c r="G5" s="17">
        <f>COUNTIF('Producción científica'!$F$5:$F$12,"*"&amp;C5&amp;"*")</f>
        <v>3</v>
      </c>
      <c r="H5" s="17">
        <f>COUNTIF('Tesis 2026'!$D$5:$D$15,"*"&amp;C5&amp;"*")</f>
        <v>0</v>
      </c>
      <c r="I5" s="17">
        <f>COUNTIF('Tesis 2026'!$C$5:$C$15,"*"&amp;C5&amp;"*")</f>
        <v>1</v>
      </c>
      <c r="J5" s="17">
        <f>COUNTIF(Postulaciones!$D$5:$D$5,"*"&amp;C5&amp;"*")+COUNTIF(Postulaciones!$E$5:$E$5,"*"&amp;C5&amp;"*")</f>
        <v>0</v>
      </c>
      <c r="K5" s="17">
        <f t="shared" ref="K5:K32" si="0">SUM(E5:J5)</f>
        <v>8</v>
      </c>
      <c r="L5" s="14" t="str">
        <f t="shared" ref="L5:L32" si="1">IF(E5&gt;0,"Líder de proyecto",IF(H5&gt;0,"Asesor(a) de tesis",IF(G5&gt;0,"Autor(a)",IF(I5&gt;0,"Tesista","Colaborador(a)"))))</f>
        <v>Líder de proyecto</v>
      </c>
    </row>
    <row r="6" spans="1:12" x14ac:dyDescent="0.2">
      <c r="A6" s="14">
        <v>2</v>
      </c>
      <c r="B6" s="14" t="s">
        <v>191</v>
      </c>
      <c r="C6" s="14" t="s">
        <v>366</v>
      </c>
      <c r="D6" s="14" t="s">
        <v>367</v>
      </c>
      <c r="E6" s="17">
        <f>COUNTIF('Proyectos 2026'!$C$5:$C$14,"*"&amp;C6&amp;"*")</f>
        <v>2</v>
      </c>
      <c r="F6" s="17">
        <f>COUNTIF('Proyectos 2026'!$D$5:$D$14,"*"&amp;C6&amp;"*")</f>
        <v>0</v>
      </c>
      <c r="G6" s="17">
        <f>COUNTIF('Producción científica'!$F$5:$F$12,"*"&amp;C6&amp;"*")</f>
        <v>2</v>
      </c>
      <c r="H6" s="17">
        <f>COUNTIF('Tesis 2026'!$D$5:$D$15,"*"&amp;C6&amp;"*")</f>
        <v>0</v>
      </c>
      <c r="I6" s="17">
        <f>COUNTIF('Tesis 2026'!$C$5:$C$15,"*"&amp;C6&amp;"*")</f>
        <v>0</v>
      </c>
      <c r="J6" s="17">
        <f>COUNTIF(Postulaciones!$D$5:$D$5,"*"&amp;C6&amp;"*")+COUNTIF(Postulaciones!$E$5:$E$5,"*"&amp;C6&amp;"*")</f>
        <v>0</v>
      </c>
      <c r="K6" s="17">
        <f t="shared" si="0"/>
        <v>4</v>
      </c>
      <c r="L6" s="14" t="str">
        <f t="shared" si="1"/>
        <v>Líder de proyecto</v>
      </c>
    </row>
    <row r="7" spans="1:12" x14ac:dyDescent="0.2">
      <c r="A7" s="14">
        <v>3</v>
      </c>
      <c r="B7" s="14" t="s">
        <v>201</v>
      </c>
      <c r="C7" s="14" t="s">
        <v>368</v>
      </c>
      <c r="D7" s="14" t="s">
        <v>367</v>
      </c>
      <c r="E7" s="17">
        <f>COUNTIF('Proyectos 2026'!$C$5:$C$14,"*"&amp;C7&amp;"*")</f>
        <v>1</v>
      </c>
      <c r="F7" s="17">
        <f>COUNTIF('Proyectos 2026'!$D$5:$D$14,"*"&amp;C7&amp;"*")</f>
        <v>0</v>
      </c>
      <c r="G7" s="17">
        <f>COUNTIF('Producción científica'!$F$5:$F$12,"*"&amp;C7&amp;"*")</f>
        <v>1</v>
      </c>
      <c r="H7" s="17">
        <f>COUNTIF('Tesis 2026'!$D$5:$D$15,"*"&amp;C7&amp;"*")</f>
        <v>1</v>
      </c>
      <c r="I7" s="17">
        <f>COUNTIF('Tesis 2026'!$C$5:$C$15,"*"&amp;C7&amp;"*")</f>
        <v>0</v>
      </c>
      <c r="J7" s="17">
        <f>COUNTIF(Postulaciones!$D$5:$D$5,"*"&amp;C7&amp;"*")+COUNTIF(Postulaciones!$E$5:$E$5,"*"&amp;C7&amp;"*")</f>
        <v>0</v>
      </c>
      <c r="K7" s="17">
        <f t="shared" si="0"/>
        <v>3</v>
      </c>
      <c r="L7" s="14" t="str">
        <f t="shared" si="1"/>
        <v>Líder de proyecto</v>
      </c>
    </row>
    <row r="8" spans="1:12" x14ac:dyDescent="0.2">
      <c r="A8" s="14">
        <v>4</v>
      </c>
      <c r="B8" s="14" t="s">
        <v>271</v>
      </c>
      <c r="C8" s="14" t="s">
        <v>369</v>
      </c>
      <c r="D8" s="14" t="s">
        <v>370</v>
      </c>
      <c r="E8" s="17">
        <f>COUNTIF('Proyectos 2026'!$C$5:$C$14,"*"&amp;C8&amp;"*")</f>
        <v>0</v>
      </c>
      <c r="F8" s="17">
        <f>COUNTIF('Proyectos 2026'!$D$5:$D$14,"*"&amp;C8&amp;"*")</f>
        <v>0</v>
      </c>
      <c r="G8" s="17">
        <f>COUNTIF('Producción científica'!$F$5:$F$12,"*"&amp;C8&amp;"*")</f>
        <v>0</v>
      </c>
      <c r="H8" s="17">
        <f>COUNTIF('Tesis 2026'!$D$5:$D$15,"*"&amp;C8&amp;"*")</f>
        <v>3</v>
      </c>
      <c r="I8" s="17">
        <f>COUNTIF('Tesis 2026'!$C$5:$C$15,"*"&amp;C8&amp;"*")</f>
        <v>0</v>
      </c>
      <c r="J8" s="17">
        <f>COUNTIF(Postulaciones!$D$5:$D$5,"*"&amp;C8&amp;"*")+COUNTIF(Postulaciones!$E$5:$E$5,"*"&amp;C8&amp;"*")</f>
        <v>0</v>
      </c>
      <c r="K8" s="17">
        <f t="shared" si="0"/>
        <v>3</v>
      </c>
      <c r="L8" s="14" t="str">
        <f t="shared" si="1"/>
        <v>Asesor(a) de tesis</v>
      </c>
    </row>
    <row r="9" spans="1:12" x14ac:dyDescent="0.2">
      <c r="A9" s="14">
        <v>5</v>
      </c>
      <c r="B9" s="14" t="s">
        <v>167</v>
      </c>
      <c r="C9" s="14" t="s">
        <v>371</v>
      </c>
      <c r="D9" s="14" t="s">
        <v>372</v>
      </c>
      <c r="E9" s="17">
        <f>COUNTIF('Proyectos 2026'!$C$5:$C$14,"*"&amp;C9&amp;"*")</f>
        <v>0</v>
      </c>
      <c r="F9" s="17">
        <f>COUNTIF('Proyectos 2026'!$D$5:$D$14,"*"&amp;C9&amp;"*")</f>
        <v>1</v>
      </c>
      <c r="G9" s="17">
        <f>COUNTIF('Producción científica'!$F$5:$F$12,"*"&amp;C9&amp;"*")</f>
        <v>0</v>
      </c>
      <c r="H9" s="17">
        <f>COUNTIF('Tesis 2026'!$D$5:$D$15,"*"&amp;C9&amp;"*")</f>
        <v>2</v>
      </c>
      <c r="I9" s="17">
        <f>COUNTIF('Tesis 2026'!$C$5:$C$15,"*"&amp;C9&amp;"*")</f>
        <v>0</v>
      </c>
      <c r="J9" s="17">
        <f>COUNTIF(Postulaciones!$D$5:$D$5,"*"&amp;C9&amp;"*")+COUNTIF(Postulaciones!$E$5:$E$5,"*"&amp;C9&amp;"*")</f>
        <v>0</v>
      </c>
      <c r="K9" s="17">
        <f t="shared" si="0"/>
        <v>3</v>
      </c>
      <c r="L9" s="14" t="str">
        <f t="shared" si="1"/>
        <v>Asesor(a) de tesis</v>
      </c>
    </row>
    <row r="10" spans="1:12" x14ac:dyDescent="0.2">
      <c r="A10" s="14">
        <v>6</v>
      </c>
      <c r="B10" s="14" t="s">
        <v>275</v>
      </c>
      <c r="C10" s="14" t="s">
        <v>373</v>
      </c>
      <c r="D10" s="14" t="s">
        <v>374</v>
      </c>
      <c r="E10" s="17">
        <f>COUNTIF('Proyectos 2026'!$C$5:$C$14,"*"&amp;C10&amp;"*")</f>
        <v>0</v>
      </c>
      <c r="F10" s="17">
        <f>COUNTIF('Proyectos 2026'!$D$5:$D$14,"*"&amp;C10&amp;"*")</f>
        <v>0</v>
      </c>
      <c r="G10" s="17">
        <f>COUNTIF('Producción científica'!$F$5:$F$12,"*"&amp;C10&amp;"*")</f>
        <v>0</v>
      </c>
      <c r="H10" s="17">
        <f>COUNTIF('Tesis 2026'!$D$5:$D$15,"*"&amp;C10&amp;"*")</f>
        <v>2</v>
      </c>
      <c r="I10" s="17">
        <f>COUNTIF('Tesis 2026'!$C$5:$C$15,"*"&amp;C10&amp;"*")</f>
        <v>0</v>
      </c>
      <c r="J10" s="17">
        <f>COUNTIF(Postulaciones!$D$5:$D$5,"*"&amp;C10&amp;"*")+COUNTIF(Postulaciones!$E$5:$E$5,"*"&amp;C10&amp;"*")</f>
        <v>0</v>
      </c>
      <c r="K10" s="17">
        <f t="shared" si="0"/>
        <v>2</v>
      </c>
      <c r="L10" s="14" t="str">
        <f t="shared" si="1"/>
        <v>Asesor(a) de tesis</v>
      </c>
    </row>
    <row r="11" spans="1:12" x14ac:dyDescent="0.2">
      <c r="A11" s="14">
        <v>7</v>
      </c>
      <c r="B11" s="14" t="s">
        <v>291</v>
      </c>
      <c r="C11" s="14" t="s">
        <v>375</v>
      </c>
      <c r="D11" s="14" t="s">
        <v>372</v>
      </c>
      <c r="E11" s="17">
        <f>COUNTIF('Proyectos 2026'!$C$5:$C$14,"*"&amp;C11&amp;"*")</f>
        <v>0</v>
      </c>
      <c r="F11" s="17">
        <f>COUNTIF('Proyectos 2026'!$D$5:$D$14,"*"&amp;C11&amp;"*")</f>
        <v>0</v>
      </c>
      <c r="G11" s="17">
        <f>COUNTIF('Producción científica'!$F$5:$F$12,"*"&amp;C11&amp;"*")</f>
        <v>0</v>
      </c>
      <c r="H11" s="17">
        <f>COUNTIF('Tesis 2026'!$D$5:$D$15,"*"&amp;C11&amp;"*")</f>
        <v>1</v>
      </c>
      <c r="I11" s="17">
        <f>COUNTIF('Tesis 2026'!$C$5:$C$15,"*"&amp;C11&amp;"*")</f>
        <v>0</v>
      </c>
      <c r="J11" s="17">
        <f>COUNTIF(Postulaciones!$D$5:$D$5,"*"&amp;C11&amp;"*")+COUNTIF(Postulaciones!$E$5:$E$5,"*"&amp;C11&amp;"*")</f>
        <v>1</v>
      </c>
      <c r="K11" s="17">
        <f t="shared" si="0"/>
        <v>2</v>
      </c>
      <c r="L11" s="14" t="str">
        <f t="shared" si="1"/>
        <v>Asesor(a) de tesis</v>
      </c>
    </row>
    <row r="12" spans="1:12" x14ac:dyDescent="0.2">
      <c r="A12" s="14">
        <v>8</v>
      </c>
      <c r="B12" s="14" t="s">
        <v>158</v>
      </c>
      <c r="C12" s="14" t="s">
        <v>376</v>
      </c>
      <c r="D12" s="14" t="s">
        <v>367</v>
      </c>
      <c r="E12" s="17">
        <f>COUNTIF('Proyectos 2026'!$C$5:$C$14,"*"&amp;C12&amp;"*")</f>
        <v>1</v>
      </c>
      <c r="F12" s="17">
        <f>COUNTIF('Proyectos 2026'!$D$5:$D$14,"*"&amp;C12&amp;"*")</f>
        <v>0</v>
      </c>
      <c r="G12" s="17">
        <f>COUNTIF('Producción científica'!$F$5:$F$12,"*"&amp;C12&amp;"*")</f>
        <v>0</v>
      </c>
      <c r="H12" s="17">
        <f>COUNTIF('Tesis 2026'!$D$5:$D$15,"*"&amp;C12&amp;"*")</f>
        <v>0</v>
      </c>
      <c r="I12" s="17">
        <f>COUNTIF('Tesis 2026'!$C$5:$C$15,"*"&amp;C12&amp;"*")</f>
        <v>0</v>
      </c>
      <c r="J12" s="17">
        <f>COUNTIF(Postulaciones!$D$5:$D$5,"*"&amp;C12&amp;"*")+COUNTIF(Postulaciones!$E$5:$E$5,"*"&amp;C12&amp;"*")</f>
        <v>0</v>
      </c>
      <c r="K12" s="17">
        <f t="shared" si="0"/>
        <v>1</v>
      </c>
      <c r="L12" s="14" t="str">
        <f t="shared" si="1"/>
        <v>Líder de proyecto</v>
      </c>
    </row>
    <row r="13" spans="1:12" x14ac:dyDescent="0.2">
      <c r="A13" s="14">
        <v>9</v>
      </c>
      <c r="B13" s="14" t="s">
        <v>171</v>
      </c>
      <c r="C13" s="14" t="s">
        <v>377</v>
      </c>
      <c r="D13" s="14" t="s">
        <v>378</v>
      </c>
      <c r="E13" s="17">
        <f>COUNTIF('Proyectos 2026'!$C$5:$C$14,"*"&amp;C13&amp;"*")</f>
        <v>1</v>
      </c>
      <c r="F13" s="17">
        <f>COUNTIF('Proyectos 2026'!$D$5:$D$14,"*"&amp;C13&amp;"*")</f>
        <v>0</v>
      </c>
      <c r="G13" s="17">
        <f>COUNTIF('Producción científica'!$F$5:$F$12,"*"&amp;C13&amp;"*")</f>
        <v>0</v>
      </c>
      <c r="H13" s="17">
        <f>COUNTIF('Tesis 2026'!$D$5:$D$15,"*"&amp;C13&amp;"*")</f>
        <v>0</v>
      </c>
      <c r="I13" s="17">
        <f>COUNTIF('Tesis 2026'!$C$5:$C$15,"*"&amp;C13&amp;"*")</f>
        <v>0</v>
      </c>
      <c r="J13" s="17">
        <f>COUNTIF(Postulaciones!$D$5:$D$5,"*"&amp;C13&amp;"*")+COUNTIF(Postulaciones!$E$5:$E$5,"*"&amp;C13&amp;"*")</f>
        <v>0</v>
      </c>
      <c r="K13" s="17">
        <f t="shared" si="0"/>
        <v>1</v>
      </c>
      <c r="L13" s="14" t="str">
        <f t="shared" si="1"/>
        <v>Líder de proyecto</v>
      </c>
    </row>
    <row r="14" spans="1:12" x14ac:dyDescent="0.2">
      <c r="A14" s="14">
        <v>10</v>
      </c>
      <c r="B14" s="14" t="s">
        <v>379</v>
      </c>
      <c r="C14" s="14" t="s">
        <v>380</v>
      </c>
      <c r="D14" s="14" t="s">
        <v>367</v>
      </c>
      <c r="E14" s="17">
        <f>COUNTIF('Proyectos 2026'!$C$5:$C$14,"*"&amp;C14&amp;"*")</f>
        <v>1</v>
      </c>
      <c r="F14" s="17">
        <f>COUNTIF('Proyectos 2026'!$D$5:$D$14,"*"&amp;C14&amp;"*")</f>
        <v>0</v>
      </c>
      <c r="G14" s="17">
        <f>COUNTIF('Producción científica'!$F$5:$F$12,"*"&amp;C14&amp;"*")</f>
        <v>1</v>
      </c>
      <c r="H14" s="17">
        <f>COUNTIF('Tesis 2026'!$D$5:$D$15,"*"&amp;C14&amp;"*")</f>
        <v>0</v>
      </c>
      <c r="I14" s="17">
        <f>COUNTIF('Tesis 2026'!$C$5:$C$15,"*"&amp;C14&amp;"*")</f>
        <v>0</v>
      </c>
      <c r="J14" s="17">
        <f>COUNTIF(Postulaciones!$D$5:$D$5,"*"&amp;C14&amp;"*")+COUNTIF(Postulaciones!$E$5:$E$5,"*"&amp;C14&amp;"*")</f>
        <v>0</v>
      </c>
      <c r="K14" s="17">
        <f t="shared" si="0"/>
        <v>2</v>
      </c>
      <c r="L14" s="14" t="str">
        <f t="shared" si="1"/>
        <v>Líder de proyecto</v>
      </c>
    </row>
    <row r="15" spans="1:12" x14ac:dyDescent="0.2">
      <c r="A15" s="14">
        <v>11</v>
      </c>
      <c r="B15" s="14" t="s">
        <v>184</v>
      </c>
      <c r="C15" s="14" t="s">
        <v>381</v>
      </c>
      <c r="D15" s="14" t="s">
        <v>367</v>
      </c>
      <c r="E15" s="17">
        <f>COUNTIF('Proyectos 2026'!$C$5:$C$14,"*"&amp;C15&amp;"*")</f>
        <v>1</v>
      </c>
      <c r="F15" s="17">
        <f>COUNTIF('Proyectos 2026'!$D$5:$D$14,"*"&amp;C15&amp;"*")</f>
        <v>0</v>
      </c>
      <c r="G15" s="17">
        <f>COUNTIF('Producción científica'!$F$5:$F$12,"*"&amp;C15&amp;"*")</f>
        <v>0</v>
      </c>
      <c r="H15" s="17">
        <f>COUNTIF('Tesis 2026'!$D$5:$D$15,"*"&amp;C15&amp;"*")</f>
        <v>0</v>
      </c>
      <c r="I15" s="17">
        <f>COUNTIF('Tesis 2026'!$C$5:$C$15,"*"&amp;C15&amp;"*")</f>
        <v>0</v>
      </c>
      <c r="J15" s="17">
        <f>COUNTIF(Postulaciones!$D$5:$D$5,"*"&amp;C15&amp;"*")+COUNTIF(Postulaciones!$E$5:$E$5,"*"&amp;C15&amp;"*")</f>
        <v>0</v>
      </c>
      <c r="K15" s="17">
        <f t="shared" si="0"/>
        <v>1</v>
      </c>
      <c r="L15" s="14" t="str">
        <f t="shared" si="1"/>
        <v>Líder de proyecto</v>
      </c>
    </row>
    <row r="16" spans="1:12" x14ac:dyDescent="0.2">
      <c r="A16" s="14">
        <v>12</v>
      </c>
      <c r="B16" s="14" t="s">
        <v>382</v>
      </c>
      <c r="C16" s="14" t="s">
        <v>383</v>
      </c>
      <c r="D16" s="14" t="s">
        <v>384</v>
      </c>
      <c r="E16" s="17">
        <f>COUNTIF('Proyectos 2026'!$C$5:$C$14,"*"&amp;C16&amp;"*")</f>
        <v>1</v>
      </c>
      <c r="F16" s="17">
        <f>COUNTIF('Proyectos 2026'!$D$5:$D$14,"*"&amp;C16&amp;"*")</f>
        <v>0</v>
      </c>
      <c r="G16" s="17">
        <f>COUNTIF('Producción científica'!$F$5:$F$12,"*"&amp;C16&amp;"*")</f>
        <v>0</v>
      </c>
      <c r="H16" s="17">
        <f>COUNTIF('Tesis 2026'!$D$5:$D$15,"*"&amp;C16&amp;"*")</f>
        <v>0</v>
      </c>
      <c r="I16" s="17">
        <f>COUNTIF('Tesis 2026'!$C$5:$C$15,"*"&amp;C16&amp;"*")</f>
        <v>0</v>
      </c>
      <c r="J16" s="17">
        <f>COUNTIF(Postulaciones!$D$5:$D$5,"*"&amp;C16&amp;"*")+COUNTIF(Postulaciones!$E$5:$E$5,"*"&amp;C16&amp;"*")</f>
        <v>0</v>
      </c>
      <c r="K16" s="17">
        <f t="shared" si="0"/>
        <v>1</v>
      </c>
      <c r="L16" s="14" t="str">
        <f t="shared" si="1"/>
        <v>Líder de proyecto</v>
      </c>
    </row>
    <row r="17" spans="1:12" x14ac:dyDescent="0.2">
      <c r="A17" s="14">
        <v>13</v>
      </c>
      <c r="B17" s="14" t="s">
        <v>385</v>
      </c>
      <c r="C17" s="14" t="s">
        <v>386</v>
      </c>
      <c r="D17" s="14" t="s">
        <v>367</v>
      </c>
      <c r="E17" s="17">
        <f>COUNTIF('Proyectos 2026'!$C$5:$C$14,"*"&amp;C17&amp;"*")</f>
        <v>0</v>
      </c>
      <c r="F17" s="17">
        <f>COUNTIF('Proyectos 2026'!$D$5:$D$14,"*"&amp;C17&amp;"*")</f>
        <v>0</v>
      </c>
      <c r="G17" s="17">
        <f>COUNTIF('Producción científica'!$F$5:$F$12,"*"&amp;C17&amp;"*")</f>
        <v>1</v>
      </c>
      <c r="H17" s="17">
        <f>COUNTIF('Tesis 2026'!$D$5:$D$15,"*"&amp;C17&amp;"*")</f>
        <v>0</v>
      </c>
      <c r="I17" s="17">
        <f>COUNTIF('Tesis 2026'!$C$5:$C$15,"*"&amp;C17&amp;"*")</f>
        <v>0</v>
      </c>
      <c r="J17" s="17">
        <f>COUNTIF(Postulaciones!$D$5:$D$5,"*"&amp;C17&amp;"*")+COUNTIF(Postulaciones!$E$5:$E$5,"*"&amp;C17&amp;"*")</f>
        <v>0</v>
      </c>
      <c r="K17" s="17">
        <f t="shared" si="0"/>
        <v>1</v>
      </c>
      <c r="L17" s="14" t="str">
        <f t="shared" si="1"/>
        <v>Autor(a)</v>
      </c>
    </row>
    <row r="18" spans="1:12" x14ac:dyDescent="0.2">
      <c r="A18" s="14">
        <v>14</v>
      </c>
      <c r="B18" s="14" t="s">
        <v>274</v>
      </c>
      <c r="C18" s="14" t="s">
        <v>387</v>
      </c>
      <c r="D18" s="14" t="s">
        <v>388</v>
      </c>
      <c r="E18" s="17">
        <f>COUNTIF('Proyectos 2026'!$C$5:$C$14,"*"&amp;C18&amp;"*")</f>
        <v>0</v>
      </c>
      <c r="F18" s="17">
        <f>COUNTIF('Proyectos 2026'!$D$5:$D$14,"*"&amp;C18&amp;"*")</f>
        <v>0</v>
      </c>
      <c r="G18" s="17">
        <f>COUNTIF('Producción científica'!$F$5:$F$12,"*"&amp;C18&amp;"*")</f>
        <v>1</v>
      </c>
      <c r="H18" s="17">
        <f>COUNTIF('Tesis 2026'!$D$5:$D$15,"*"&amp;C18&amp;"*")</f>
        <v>0</v>
      </c>
      <c r="I18" s="17">
        <f>COUNTIF('Tesis 2026'!$C$5:$C$15,"*"&amp;C18&amp;"*")</f>
        <v>1</v>
      </c>
      <c r="J18" s="17">
        <f>COUNTIF(Postulaciones!$D$5:$D$5,"*"&amp;C18&amp;"*")+COUNTIF(Postulaciones!$E$5:$E$5,"*"&amp;C18&amp;"*")</f>
        <v>0</v>
      </c>
      <c r="K18" s="17">
        <f t="shared" si="0"/>
        <v>2</v>
      </c>
      <c r="L18" s="14" t="str">
        <f t="shared" si="1"/>
        <v>Autor(a)</v>
      </c>
    </row>
    <row r="19" spans="1:12" x14ac:dyDescent="0.2">
      <c r="A19" s="14">
        <v>15</v>
      </c>
      <c r="B19" s="14" t="s">
        <v>279</v>
      </c>
      <c r="C19" s="14" t="s">
        <v>389</v>
      </c>
      <c r="D19" s="14" t="s">
        <v>390</v>
      </c>
      <c r="E19" s="17">
        <f>COUNTIF('Proyectos 2026'!$C$5:$C$14,"*"&amp;C19&amp;"*")</f>
        <v>0</v>
      </c>
      <c r="F19" s="17">
        <f>COUNTIF('Proyectos 2026'!$D$5:$D$14,"*"&amp;C19&amp;"*")</f>
        <v>0</v>
      </c>
      <c r="G19" s="17">
        <f>COUNTIF('Producción científica'!$F$5:$F$12,"*"&amp;C19&amp;"*")</f>
        <v>1</v>
      </c>
      <c r="H19" s="17">
        <f>COUNTIF('Tesis 2026'!$D$5:$D$15,"*"&amp;C19&amp;"*")</f>
        <v>0</v>
      </c>
      <c r="I19" s="17">
        <f>COUNTIF('Tesis 2026'!$C$5:$C$15,"*"&amp;C19&amp;"*")</f>
        <v>1</v>
      </c>
      <c r="J19" s="17">
        <f>COUNTIF(Postulaciones!$D$5:$D$5,"*"&amp;C19&amp;"*")+COUNTIF(Postulaciones!$E$5:$E$5,"*"&amp;C19&amp;"*")</f>
        <v>0</v>
      </c>
      <c r="K19" s="17">
        <f t="shared" si="0"/>
        <v>2</v>
      </c>
      <c r="L19" s="14" t="str">
        <f t="shared" si="1"/>
        <v>Autor(a)</v>
      </c>
    </row>
    <row r="20" spans="1:12" x14ac:dyDescent="0.2">
      <c r="A20" s="14">
        <v>16</v>
      </c>
      <c r="B20" s="14" t="s">
        <v>288</v>
      </c>
      <c r="C20" s="14" t="s">
        <v>391</v>
      </c>
      <c r="D20" s="14" t="s">
        <v>374</v>
      </c>
      <c r="E20" s="17">
        <f>COUNTIF('Proyectos 2026'!$C$5:$C$14,"*"&amp;C20&amp;"*")</f>
        <v>0</v>
      </c>
      <c r="F20" s="17">
        <f>COUNTIF('Proyectos 2026'!$D$5:$D$14,"*"&amp;C20&amp;"*")</f>
        <v>0</v>
      </c>
      <c r="G20" s="17">
        <f>COUNTIF('Producción científica'!$F$5:$F$12,"*"&amp;C20&amp;"*")</f>
        <v>0</v>
      </c>
      <c r="H20" s="17">
        <f>COUNTIF('Tesis 2026'!$D$5:$D$15,"*"&amp;C20&amp;"*")</f>
        <v>1</v>
      </c>
      <c r="I20" s="17">
        <f>COUNTIF('Tesis 2026'!$C$5:$C$15,"*"&amp;C20&amp;"*")</f>
        <v>0</v>
      </c>
      <c r="J20" s="17">
        <f>COUNTIF(Postulaciones!$D$5:$D$5,"*"&amp;C20&amp;"*")+COUNTIF(Postulaciones!$E$5:$E$5,"*"&amp;C20&amp;"*")</f>
        <v>0</v>
      </c>
      <c r="K20" s="17">
        <f t="shared" si="0"/>
        <v>1</v>
      </c>
      <c r="L20" s="14" t="str">
        <f t="shared" si="1"/>
        <v>Asesor(a) de tesis</v>
      </c>
    </row>
    <row r="21" spans="1:12" x14ac:dyDescent="0.2">
      <c r="A21" s="14">
        <v>17</v>
      </c>
      <c r="B21" s="14" t="s">
        <v>392</v>
      </c>
      <c r="C21" s="14" t="s">
        <v>392</v>
      </c>
      <c r="D21" s="14" t="s">
        <v>249</v>
      </c>
      <c r="E21" s="17">
        <f>COUNTIF('Proyectos 2026'!$C$5:$C$14,"*"&amp;C21&amp;"*")</f>
        <v>0</v>
      </c>
      <c r="F21" s="17">
        <f>COUNTIF('Proyectos 2026'!$D$5:$D$14,"*"&amp;C21&amp;"*")</f>
        <v>0</v>
      </c>
      <c r="G21" s="17">
        <f>COUNTIF('Producción científica'!$F$5:$F$12,"*"&amp;C21&amp;"*")</f>
        <v>0</v>
      </c>
      <c r="H21" s="17">
        <f>COUNTIF('Tesis 2026'!$D$5:$D$15,"*"&amp;C21&amp;"*")</f>
        <v>1</v>
      </c>
      <c r="I21" s="17">
        <f>COUNTIF('Tesis 2026'!$C$5:$C$15,"*"&amp;C21&amp;"*")</f>
        <v>0</v>
      </c>
      <c r="J21" s="17">
        <f>COUNTIF(Postulaciones!$D$5:$D$5,"*"&amp;C21&amp;"*")+COUNTIF(Postulaciones!$E$5:$E$5,"*"&amp;C21&amp;"*")</f>
        <v>0</v>
      </c>
      <c r="K21" s="17">
        <f t="shared" si="0"/>
        <v>1</v>
      </c>
      <c r="L21" s="14" t="str">
        <f t="shared" si="1"/>
        <v>Asesor(a) de tesis</v>
      </c>
    </row>
    <row r="22" spans="1:12" x14ac:dyDescent="0.2">
      <c r="A22" s="14">
        <v>18</v>
      </c>
      <c r="B22" s="14" t="s">
        <v>393</v>
      </c>
      <c r="C22" s="14" t="s">
        <v>394</v>
      </c>
      <c r="D22" s="14" t="s">
        <v>395</v>
      </c>
      <c r="E22" s="17">
        <f>COUNTIF('Proyectos 2026'!$C$5:$C$14,"*"&amp;C22&amp;"*")</f>
        <v>0</v>
      </c>
      <c r="F22" s="17">
        <f>COUNTIF('Proyectos 2026'!$D$5:$D$14,"*"&amp;C22&amp;"*")</f>
        <v>0</v>
      </c>
      <c r="G22" s="17">
        <f>COUNTIF('Producción científica'!$F$5:$F$12,"*"&amp;C22&amp;"*")</f>
        <v>0</v>
      </c>
      <c r="H22" s="17">
        <f>COUNTIF('Tesis 2026'!$D$5:$D$15,"*"&amp;C22&amp;"*")</f>
        <v>0</v>
      </c>
      <c r="I22" s="17">
        <f>COUNTIF('Tesis 2026'!$C$5:$C$15,"*"&amp;C22&amp;"*")</f>
        <v>0</v>
      </c>
      <c r="J22" s="17">
        <f>COUNTIF(Postulaciones!$D$5:$D$5,"*"&amp;C22&amp;"*")+COUNTIF(Postulaciones!$E$5:$E$5,"*"&amp;C22&amp;"*")</f>
        <v>1</v>
      </c>
      <c r="K22" s="17">
        <f t="shared" si="0"/>
        <v>1</v>
      </c>
      <c r="L22" s="14" t="str">
        <f t="shared" si="1"/>
        <v>Colaborador(a)</v>
      </c>
    </row>
    <row r="23" spans="1:12" x14ac:dyDescent="0.2">
      <c r="A23" s="14">
        <v>19</v>
      </c>
      <c r="B23" s="14" t="s">
        <v>396</v>
      </c>
      <c r="C23" s="14" t="s">
        <v>397</v>
      </c>
      <c r="D23" s="14" t="s">
        <v>398</v>
      </c>
      <c r="E23" s="17">
        <f>COUNTIF('Proyectos 2026'!$C$5:$C$14,"*"&amp;C23&amp;"*")</f>
        <v>0</v>
      </c>
      <c r="F23" s="17">
        <f>COUNTIF('Proyectos 2026'!$D$5:$D$14,"*"&amp;C23&amp;"*")</f>
        <v>0</v>
      </c>
      <c r="G23" s="17">
        <f>COUNTIF('Producción científica'!$F$5:$F$12,"*"&amp;C23&amp;"*")</f>
        <v>0</v>
      </c>
      <c r="H23" s="17">
        <f>COUNTIF('Tesis 2026'!$D$5:$D$15,"*"&amp;C23&amp;"*")</f>
        <v>0</v>
      </c>
      <c r="I23" s="17">
        <f>COUNTIF('Tesis 2026'!$C$5:$C$15,"*"&amp;C23&amp;"*")</f>
        <v>0</v>
      </c>
      <c r="J23" s="17">
        <f>COUNTIF(Postulaciones!$D$5:$D$5,"*"&amp;C23&amp;"*")+COUNTIF(Postulaciones!$E$5:$E$5,"*"&amp;C23&amp;"*")</f>
        <v>1</v>
      </c>
      <c r="K23" s="17">
        <f t="shared" si="0"/>
        <v>1</v>
      </c>
      <c r="L23" s="14" t="str">
        <f t="shared" si="1"/>
        <v>Colaborador(a)</v>
      </c>
    </row>
    <row r="24" spans="1:12" x14ac:dyDescent="0.2">
      <c r="A24" s="14">
        <v>20</v>
      </c>
      <c r="B24" s="14" t="s">
        <v>399</v>
      </c>
      <c r="C24" s="14" t="s">
        <v>400</v>
      </c>
      <c r="D24" s="14" t="s">
        <v>395</v>
      </c>
      <c r="E24" s="17">
        <f>COUNTIF('Proyectos 2026'!$C$5:$C$14,"*"&amp;C24&amp;"*")</f>
        <v>0</v>
      </c>
      <c r="F24" s="17">
        <f>COUNTIF('Proyectos 2026'!$D$5:$D$14,"*"&amp;C24&amp;"*")</f>
        <v>0</v>
      </c>
      <c r="G24" s="17">
        <f>COUNTIF('Producción científica'!$F$5:$F$12,"*"&amp;C24&amp;"*")</f>
        <v>0</v>
      </c>
      <c r="H24" s="17">
        <f>COUNTIF('Tesis 2026'!$D$5:$D$15,"*"&amp;C24&amp;"*")</f>
        <v>0</v>
      </c>
      <c r="I24" s="17">
        <f>COUNTIF('Tesis 2026'!$C$5:$C$15,"*"&amp;C24&amp;"*")</f>
        <v>0</v>
      </c>
      <c r="J24" s="17">
        <f>COUNTIF(Postulaciones!$D$5:$D$5,"*"&amp;C24&amp;"*")+COUNTIF(Postulaciones!$E$5:$E$5,"*"&amp;C24&amp;"*")</f>
        <v>1</v>
      </c>
      <c r="K24" s="17">
        <f t="shared" si="0"/>
        <v>1</v>
      </c>
      <c r="L24" s="14" t="str">
        <f t="shared" si="1"/>
        <v>Colaborador(a)</v>
      </c>
    </row>
    <row r="25" spans="1:12" x14ac:dyDescent="0.2">
      <c r="A25" s="14">
        <v>21</v>
      </c>
      <c r="B25" s="14" t="s">
        <v>259</v>
      </c>
      <c r="C25" s="14" t="s">
        <v>401</v>
      </c>
      <c r="D25" s="14" t="s">
        <v>248</v>
      </c>
      <c r="E25" s="17">
        <f>COUNTIF('Proyectos 2026'!$C$5:$C$14,"*"&amp;C25&amp;"*")</f>
        <v>0</v>
      </c>
      <c r="F25" s="17">
        <f>COUNTIF('Proyectos 2026'!$D$5:$D$14,"*"&amp;C25&amp;"*")</f>
        <v>0</v>
      </c>
      <c r="G25" s="17">
        <f>COUNTIF('Producción científica'!$F$5:$F$12,"*"&amp;C25&amp;"*")</f>
        <v>0</v>
      </c>
      <c r="H25" s="17">
        <f>COUNTIF('Tesis 2026'!$D$5:$D$15,"*"&amp;C25&amp;"*")</f>
        <v>0</v>
      </c>
      <c r="I25" s="17">
        <f>COUNTIF('Tesis 2026'!$C$5:$C$15,"*"&amp;C25&amp;"*")</f>
        <v>1</v>
      </c>
      <c r="J25" s="17">
        <f>COUNTIF(Postulaciones!$D$5:$D$5,"*"&amp;C25&amp;"*")+COUNTIF(Postulaciones!$E$5:$E$5,"*"&amp;C25&amp;"*")</f>
        <v>0</v>
      </c>
      <c r="K25" s="17">
        <f t="shared" si="0"/>
        <v>1</v>
      </c>
      <c r="L25" s="14" t="str">
        <f t="shared" si="1"/>
        <v>Tesista</v>
      </c>
    </row>
    <row r="26" spans="1:12" x14ac:dyDescent="0.2">
      <c r="A26" s="14">
        <v>22</v>
      </c>
      <c r="B26" s="14" t="s">
        <v>263</v>
      </c>
      <c r="C26" s="14" t="s">
        <v>402</v>
      </c>
      <c r="D26" s="14" t="s">
        <v>248</v>
      </c>
      <c r="E26" s="17">
        <f>COUNTIF('Proyectos 2026'!$C$5:$C$14,"*"&amp;C26&amp;"*")</f>
        <v>0</v>
      </c>
      <c r="F26" s="17">
        <f>COUNTIF('Proyectos 2026'!$D$5:$D$14,"*"&amp;C26&amp;"*")</f>
        <v>0</v>
      </c>
      <c r="G26" s="17">
        <f>COUNTIF('Producción científica'!$F$5:$F$12,"*"&amp;C26&amp;"*")</f>
        <v>0</v>
      </c>
      <c r="H26" s="17">
        <f>COUNTIF('Tesis 2026'!$D$5:$D$15,"*"&amp;C26&amp;"*")</f>
        <v>0</v>
      </c>
      <c r="I26" s="17">
        <f>COUNTIF('Tesis 2026'!$C$5:$C$15,"*"&amp;C26&amp;"*")</f>
        <v>1</v>
      </c>
      <c r="J26" s="17">
        <f>COUNTIF(Postulaciones!$D$5:$D$5,"*"&amp;C26&amp;"*")+COUNTIF(Postulaciones!$E$5:$E$5,"*"&amp;C26&amp;"*")</f>
        <v>0</v>
      </c>
      <c r="K26" s="17">
        <f t="shared" si="0"/>
        <v>1</v>
      </c>
      <c r="L26" s="14" t="str">
        <f t="shared" si="1"/>
        <v>Tesista</v>
      </c>
    </row>
    <row r="27" spans="1:12" x14ac:dyDescent="0.2">
      <c r="A27" s="14">
        <v>23</v>
      </c>
      <c r="B27" s="14" t="s">
        <v>267</v>
      </c>
      <c r="C27" s="14" t="s">
        <v>403</v>
      </c>
      <c r="D27" s="14" t="s">
        <v>248</v>
      </c>
      <c r="E27" s="17">
        <f>COUNTIF('Proyectos 2026'!$C$5:$C$14,"*"&amp;C27&amp;"*")</f>
        <v>0</v>
      </c>
      <c r="F27" s="17">
        <f>COUNTIF('Proyectos 2026'!$D$5:$D$14,"*"&amp;C27&amp;"*")</f>
        <v>0</v>
      </c>
      <c r="G27" s="17">
        <f>COUNTIF('Producción científica'!$F$5:$F$12,"*"&amp;C27&amp;"*")</f>
        <v>0</v>
      </c>
      <c r="H27" s="17">
        <f>COUNTIF('Tesis 2026'!$D$5:$D$15,"*"&amp;C27&amp;"*")</f>
        <v>0</v>
      </c>
      <c r="I27" s="17">
        <f>COUNTIF('Tesis 2026'!$C$5:$C$15,"*"&amp;C27&amp;"*")</f>
        <v>1</v>
      </c>
      <c r="J27" s="17">
        <f>COUNTIF(Postulaciones!$D$5:$D$5,"*"&amp;C27&amp;"*")+COUNTIF(Postulaciones!$E$5:$E$5,"*"&amp;C27&amp;"*")</f>
        <v>0</v>
      </c>
      <c r="K27" s="17">
        <f t="shared" si="0"/>
        <v>1</v>
      </c>
      <c r="L27" s="14" t="str">
        <f t="shared" si="1"/>
        <v>Tesista</v>
      </c>
    </row>
    <row r="28" spans="1:12" x14ac:dyDescent="0.2">
      <c r="A28" s="14">
        <v>24</v>
      </c>
      <c r="B28" s="14" t="s">
        <v>282</v>
      </c>
      <c r="C28" s="14" t="s">
        <v>404</v>
      </c>
      <c r="D28" s="14" t="s">
        <v>248</v>
      </c>
      <c r="E28" s="17">
        <f>COUNTIF('Proyectos 2026'!$C$5:$C$14,"*"&amp;C28&amp;"*")</f>
        <v>0</v>
      </c>
      <c r="F28" s="17">
        <f>COUNTIF('Proyectos 2026'!$D$5:$D$14,"*"&amp;C28&amp;"*")</f>
        <v>0</v>
      </c>
      <c r="G28" s="17">
        <f>COUNTIF('Producción científica'!$F$5:$F$12,"*"&amp;C28&amp;"*")</f>
        <v>0</v>
      </c>
      <c r="H28" s="17">
        <f>COUNTIF('Tesis 2026'!$D$5:$D$15,"*"&amp;C28&amp;"*")</f>
        <v>0</v>
      </c>
      <c r="I28" s="17">
        <f>COUNTIF('Tesis 2026'!$C$5:$C$15,"*"&amp;C28&amp;"*")</f>
        <v>1</v>
      </c>
      <c r="J28" s="17">
        <f>COUNTIF(Postulaciones!$D$5:$D$5,"*"&amp;C28&amp;"*")+COUNTIF(Postulaciones!$E$5:$E$5,"*"&amp;C28&amp;"*")</f>
        <v>0</v>
      </c>
      <c r="K28" s="17">
        <f t="shared" si="0"/>
        <v>1</v>
      </c>
      <c r="L28" s="14" t="str">
        <f t="shared" si="1"/>
        <v>Tesista</v>
      </c>
    </row>
    <row r="29" spans="1:12" x14ac:dyDescent="0.2">
      <c r="A29" s="14">
        <v>25</v>
      </c>
      <c r="B29" s="14" t="s">
        <v>284</v>
      </c>
      <c r="C29" s="14" t="s">
        <v>405</v>
      </c>
      <c r="D29" s="14" t="s">
        <v>248</v>
      </c>
      <c r="E29" s="17">
        <f>COUNTIF('Proyectos 2026'!$C$5:$C$14,"*"&amp;C29&amp;"*")</f>
        <v>0</v>
      </c>
      <c r="F29" s="17">
        <f>COUNTIF('Proyectos 2026'!$D$5:$D$14,"*"&amp;C29&amp;"*")</f>
        <v>0</v>
      </c>
      <c r="G29" s="17">
        <f>COUNTIF('Producción científica'!$F$5:$F$12,"*"&amp;C29&amp;"*")</f>
        <v>0</v>
      </c>
      <c r="H29" s="17">
        <f>COUNTIF('Tesis 2026'!$D$5:$D$15,"*"&amp;C29&amp;"*")</f>
        <v>0</v>
      </c>
      <c r="I29" s="17">
        <f>COUNTIF('Tesis 2026'!$C$5:$C$15,"*"&amp;C29&amp;"*")</f>
        <v>1</v>
      </c>
      <c r="J29" s="17">
        <f>COUNTIF(Postulaciones!$D$5:$D$5,"*"&amp;C29&amp;"*")+COUNTIF(Postulaciones!$E$5:$E$5,"*"&amp;C29&amp;"*")</f>
        <v>0</v>
      </c>
      <c r="K29" s="17">
        <f t="shared" si="0"/>
        <v>1</v>
      </c>
      <c r="L29" s="14" t="str">
        <f t="shared" si="1"/>
        <v>Tesista</v>
      </c>
    </row>
    <row r="30" spans="1:12" x14ac:dyDescent="0.2">
      <c r="A30" s="14">
        <v>26</v>
      </c>
      <c r="B30" s="14" t="s">
        <v>287</v>
      </c>
      <c r="C30" s="14" t="s">
        <v>406</v>
      </c>
      <c r="D30" s="14" t="s">
        <v>248</v>
      </c>
      <c r="E30" s="17">
        <f>COUNTIF('Proyectos 2026'!$C$5:$C$14,"*"&amp;C30&amp;"*")</f>
        <v>0</v>
      </c>
      <c r="F30" s="17">
        <f>COUNTIF('Proyectos 2026'!$D$5:$D$14,"*"&amp;C30&amp;"*")</f>
        <v>0</v>
      </c>
      <c r="G30" s="17">
        <f>COUNTIF('Producción científica'!$F$5:$F$12,"*"&amp;C30&amp;"*")</f>
        <v>0</v>
      </c>
      <c r="H30" s="17">
        <f>COUNTIF('Tesis 2026'!$D$5:$D$15,"*"&amp;C30&amp;"*")</f>
        <v>0</v>
      </c>
      <c r="I30" s="17">
        <f>COUNTIF('Tesis 2026'!$C$5:$C$15,"*"&amp;C30&amp;"*")</f>
        <v>1</v>
      </c>
      <c r="J30" s="17">
        <f>COUNTIF(Postulaciones!$D$5:$D$5,"*"&amp;C30&amp;"*")+COUNTIF(Postulaciones!$E$5:$E$5,"*"&amp;C30&amp;"*")</f>
        <v>0</v>
      </c>
      <c r="K30" s="17">
        <f t="shared" si="0"/>
        <v>1</v>
      </c>
      <c r="L30" s="14" t="str">
        <f t="shared" si="1"/>
        <v>Tesista</v>
      </c>
    </row>
    <row r="31" spans="1:12" x14ac:dyDescent="0.2">
      <c r="A31" s="14">
        <v>27</v>
      </c>
      <c r="B31" s="14" t="s">
        <v>290</v>
      </c>
      <c r="C31" s="14" t="s">
        <v>407</v>
      </c>
      <c r="D31" s="14" t="s">
        <v>248</v>
      </c>
      <c r="E31" s="17">
        <f>COUNTIF('Proyectos 2026'!$C$5:$C$14,"*"&amp;C31&amp;"*")</f>
        <v>0</v>
      </c>
      <c r="F31" s="17">
        <f>COUNTIF('Proyectos 2026'!$D$5:$D$14,"*"&amp;C31&amp;"*")</f>
        <v>0</v>
      </c>
      <c r="G31" s="17">
        <f>COUNTIF('Producción científica'!$F$5:$F$12,"*"&amp;C31&amp;"*")</f>
        <v>0</v>
      </c>
      <c r="H31" s="17">
        <f>COUNTIF('Tesis 2026'!$D$5:$D$15,"*"&amp;C31&amp;"*")</f>
        <v>0</v>
      </c>
      <c r="I31" s="17">
        <f>COUNTIF('Tesis 2026'!$C$5:$C$15,"*"&amp;C31&amp;"*")</f>
        <v>1</v>
      </c>
      <c r="J31" s="17">
        <f>COUNTIF(Postulaciones!$D$5:$D$5,"*"&amp;C31&amp;"*")+COUNTIF(Postulaciones!$E$5:$E$5,"*"&amp;C31&amp;"*")</f>
        <v>0</v>
      </c>
      <c r="K31" s="17">
        <f t="shared" si="0"/>
        <v>1</v>
      </c>
      <c r="L31" s="14" t="str">
        <f t="shared" si="1"/>
        <v>Tesista</v>
      </c>
    </row>
    <row r="32" spans="1:12" x14ac:dyDescent="0.2">
      <c r="A32" s="14">
        <v>28</v>
      </c>
      <c r="B32" s="14" t="s">
        <v>293</v>
      </c>
      <c r="C32" s="14" t="s">
        <v>408</v>
      </c>
      <c r="D32" s="14" t="s">
        <v>248</v>
      </c>
      <c r="E32" s="17">
        <f>COUNTIF('Proyectos 2026'!$C$5:$C$14,"*"&amp;C32&amp;"*")</f>
        <v>0</v>
      </c>
      <c r="F32" s="17">
        <f>COUNTIF('Proyectos 2026'!$D$5:$D$14,"*"&amp;C32&amp;"*")</f>
        <v>0</v>
      </c>
      <c r="G32" s="17">
        <f>COUNTIF('Producción científica'!$F$5:$F$12,"*"&amp;C32&amp;"*")</f>
        <v>0</v>
      </c>
      <c r="H32" s="17">
        <f>COUNTIF('Tesis 2026'!$D$5:$D$15,"*"&amp;C32&amp;"*")</f>
        <v>0</v>
      </c>
      <c r="I32" s="17">
        <f>COUNTIF('Tesis 2026'!$C$5:$C$15,"*"&amp;C32&amp;"*")</f>
        <v>1</v>
      </c>
      <c r="J32" s="17">
        <f>COUNTIF(Postulaciones!$D$5:$D$5,"*"&amp;C32&amp;"*")+COUNTIF(Postulaciones!$E$5:$E$5,"*"&amp;C32&amp;"*")</f>
        <v>0</v>
      </c>
      <c r="K32" s="17">
        <f t="shared" si="0"/>
        <v>1</v>
      </c>
      <c r="L32" s="14" t="str">
        <f t="shared" si="1"/>
        <v>Tesista</v>
      </c>
    </row>
    <row r="34" spans="2:3" x14ac:dyDescent="0.2">
      <c r="B34" s="8" t="s">
        <v>409</v>
      </c>
      <c r="C34" s="8">
        <f>COUNTA(B5:B32)</f>
        <v>28</v>
      </c>
    </row>
    <row r="35" spans="2:3" x14ac:dyDescent="0.2">
      <c r="B35" s="8" t="s">
        <v>410</v>
      </c>
      <c r="C35" s="8">
        <f>COUNTIF(D5:D32,"*tesista*")</f>
        <v>11</v>
      </c>
    </row>
    <row r="36" spans="2:3" x14ac:dyDescent="0.2">
      <c r="B36" s="8" t="s">
        <v>411</v>
      </c>
      <c r="C36" s="8">
        <f>COUNTIF(D5:D32,"*internacional*")</f>
        <v>1</v>
      </c>
    </row>
  </sheetData>
  <autoFilter ref="A4:L32" xr:uid="{00000000-0009-0000-0000-000007000000}"/>
  <mergeCells count="2">
    <mergeCell ref="A1:L1"/>
    <mergeCell ref="A2:L2"/>
  </mergeCells>
  <conditionalFormatting sqref="K5:K32">
    <cfRule type="cellIs" dxfId="0" priority="2" operator="greaterThanOrEqual">
      <formula>3</formula>
    </cfRule>
  </conditionalFormatting>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91C1C"/>
    <pageSetUpPr fitToPage="1"/>
  </sheetPr>
  <dimension ref="A1:H17"/>
  <sheetViews>
    <sheetView zoomScaleNormal="100" workbookViewId="0">
      <pane ySplit="4" topLeftCell="A10" activePane="bottomLeft" state="frozen"/>
      <selection pane="bottomLeft" sqref="A1:H1"/>
    </sheetView>
  </sheetViews>
  <sheetFormatPr baseColWidth="10" defaultColWidth="8.6640625" defaultRowHeight="15" x14ac:dyDescent="0.2"/>
  <cols>
    <col min="1" max="1" width="5" customWidth="1"/>
    <col min="2" max="2" width="18" customWidth="1"/>
    <col min="3" max="3" width="30" customWidth="1"/>
    <col min="4" max="4" width="50" customWidth="1"/>
    <col min="5" max="5" width="44" customWidth="1"/>
    <col min="6" max="6" width="26" customWidth="1"/>
    <col min="7" max="7" width="10" customWidth="1"/>
    <col min="8" max="8" width="11" customWidth="1"/>
  </cols>
  <sheetData>
    <row r="1" spans="1:8" ht="27.75" customHeight="1" x14ac:dyDescent="0.2">
      <c r="A1" s="2" t="s">
        <v>412</v>
      </c>
      <c r="B1" s="2"/>
      <c r="C1" s="2"/>
      <c r="D1" s="2"/>
      <c r="E1" s="2"/>
      <c r="F1" s="2"/>
      <c r="G1" s="2"/>
      <c r="H1" s="2"/>
    </row>
    <row r="2" spans="1:8" ht="30" customHeight="1" x14ac:dyDescent="0.2">
      <c r="A2" s="1" t="s">
        <v>413</v>
      </c>
      <c r="B2" s="1"/>
      <c r="C2" s="1"/>
      <c r="D2" s="1"/>
      <c r="E2" s="1"/>
      <c r="F2" s="1"/>
      <c r="G2" s="1"/>
      <c r="H2" s="1"/>
    </row>
    <row r="4" spans="1:8" ht="36" customHeight="1" x14ac:dyDescent="0.2">
      <c r="A4" s="19" t="s">
        <v>15</v>
      </c>
      <c r="B4" s="19" t="s">
        <v>414</v>
      </c>
      <c r="C4" s="19" t="s">
        <v>415</v>
      </c>
      <c r="D4" s="19" t="s">
        <v>416</v>
      </c>
      <c r="E4" s="19" t="s">
        <v>417</v>
      </c>
      <c r="F4" s="19" t="s">
        <v>418</v>
      </c>
      <c r="G4" s="19" t="s">
        <v>419</v>
      </c>
      <c r="H4" s="19" t="s">
        <v>14</v>
      </c>
    </row>
    <row r="5" spans="1:8" ht="48" customHeight="1" x14ac:dyDescent="0.2">
      <c r="A5" s="17">
        <v>1</v>
      </c>
      <c r="B5" s="14" t="s">
        <v>19</v>
      </c>
      <c r="C5" s="14" t="s">
        <v>420</v>
      </c>
      <c r="D5" s="14" t="s">
        <v>421</v>
      </c>
      <c r="E5" s="14" t="s">
        <v>422</v>
      </c>
      <c r="F5" s="14" t="s">
        <v>167</v>
      </c>
      <c r="G5" s="39" t="s">
        <v>423</v>
      </c>
      <c r="H5" s="17" t="s">
        <v>424</v>
      </c>
    </row>
    <row r="6" spans="1:8" ht="48" customHeight="1" x14ac:dyDescent="0.2">
      <c r="A6" s="17">
        <v>2</v>
      </c>
      <c r="B6" s="14" t="s">
        <v>19</v>
      </c>
      <c r="C6" s="14" t="s">
        <v>425</v>
      </c>
      <c r="D6" s="14" t="s">
        <v>426</v>
      </c>
      <c r="E6" s="14" t="s">
        <v>427</v>
      </c>
      <c r="F6" s="14" t="s">
        <v>171</v>
      </c>
      <c r="G6" s="39" t="s">
        <v>423</v>
      </c>
      <c r="H6" s="17" t="s">
        <v>424</v>
      </c>
    </row>
    <row r="7" spans="1:8" ht="48" customHeight="1" x14ac:dyDescent="0.2">
      <c r="A7" s="17">
        <v>3</v>
      </c>
      <c r="B7" s="14" t="s">
        <v>19</v>
      </c>
      <c r="C7" s="14" t="s">
        <v>428</v>
      </c>
      <c r="D7" s="14" t="s">
        <v>429</v>
      </c>
      <c r="E7" s="14" t="s">
        <v>430</v>
      </c>
      <c r="F7" s="14" t="s">
        <v>191</v>
      </c>
      <c r="G7" s="30" t="s">
        <v>431</v>
      </c>
      <c r="H7" s="17" t="s">
        <v>424</v>
      </c>
    </row>
    <row r="8" spans="1:8" ht="48" customHeight="1" x14ac:dyDescent="0.2">
      <c r="A8" s="17">
        <v>4</v>
      </c>
      <c r="B8" s="14" t="s">
        <v>19</v>
      </c>
      <c r="C8" s="14" t="s">
        <v>432</v>
      </c>
      <c r="D8" s="14" t="s">
        <v>433</v>
      </c>
      <c r="E8" s="14" t="s">
        <v>434</v>
      </c>
      <c r="F8" s="14" t="s">
        <v>435</v>
      </c>
      <c r="G8" s="30" t="s">
        <v>431</v>
      </c>
      <c r="H8" s="17" t="s">
        <v>424</v>
      </c>
    </row>
    <row r="9" spans="1:8" ht="48" customHeight="1" x14ac:dyDescent="0.2">
      <c r="A9" s="17">
        <v>5</v>
      </c>
      <c r="B9" s="14" t="s">
        <v>19</v>
      </c>
      <c r="C9" s="14" t="s">
        <v>436</v>
      </c>
      <c r="D9" s="14" t="s">
        <v>437</v>
      </c>
      <c r="E9" s="14" t="s">
        <v>438</v>
      </c>
      <c r="F9" s="14" t="s">
        <v>178</v>
      </c>
      <c r="G9" s="29" t="s">
        <v>439</v>
      </c>
      <c r="H9" s="17" t="s">
        <v>424</v>
      </c>
    </row>
    <row r="10" spans="1:8" ht="48" customHeight="1" x14ac:dyDescent="0.2">
      <c r="A10" s="17">
        <v>6</v>
      </c>
      <c r="B10" s="14" t="s">
        <v>19</v>
      </c>
      <c r="C10" s="14" t="s">
        <v>440</v>
      </c>
      <c r="D10" s="14" t="s">
        <v>441</v>
      </c>
      <c r="E10" s="14" t="s">
        <v>442</v>
      </c>
      <c r="F10" s="14" t="s">
        <v>435</v>
      </c>
      <c r="G10" s="30" t="s">
        <v>431</v>
      </c>
      <c r="H10" s="17" t="s">
        <v>424</v>
      </c>
    </row>
    <row r="11" spans="1:8" ht="48" customHeight="1" x14ac:dyDescent="0.2">
      <c r="A11" s="17">
        <v>7</v>
      </c>
      <c r="B11" s="14" t="s">
        <v>36</v>
      </c>
      <c r="C11" s="14" t="s">
        <v>443</v>
      </c>
      <c r="D11" s="14" t="s">
        <v>444</v>
      </c>
      <c r="E11" s="14" t="s">
        <v>445</v>
      </c>
      <c r="F11" s="14" t="s">
        <v>446</v>
      </c>
      <c r="G11" s="30" t="s">
        <v>431</v>
      </c>
      <c r="H11" s="17" t="s">
        <v>424</v>
      </c>
    </row>
    <row r="12" spans="1:8" ht="48" customHeight="1" x14ac:dyDescent="0.2">
      <c r="A12" s="17">
        <v>8</v>
      </c>
      <c r="B12" s="14" t="s">
        <v>43</v>
      </c>
      <c r="C12" s="14" t="s">
        <v>447</v>
      </c>
      <c r="D12" s="14" t="s">
        <v>448</v>
      </c>
      <c r="E12" s="14" t="s">
        <v>449</v>
      </c>
      <c r="F12" s="14" t="s">
        <v>450</v>
      </c>
      <c r="G12" s="39" t="s">
        <v>423</v>
      </c>
      <c r="H12" s="17" t="s">
        <v>424</v>
      </c>
    </row>
    <row r="13" spans="1:8" ht="48" customHeight="1" x14ac:dyDescent="0.2">
      <c r="A13" s="17">
        <v>9</v>
      </c>
      <c r="B13" s="14" t="s">
        <v>43</v>
      </c>
      <c r="C13" s="14" t="s">
        <v>451</v>
      </c>
      <c r="D13" s="14" t="s">
        <v>452</v>
      </c>
      <c r="E13" s="14" t="s">
        <v>453</v>
      </c>
      <c r="F13" s="14" t="s">
        <v>454</v>
      </c>
      <c r="G13" s="39" t="s">
        <v>423</v>
      </c>
      <c r="H13" s="17" t="s">
        <v>424</v>
      </c>
    </row>
    <row r="14" spans="1:8" ht="48" customHeight="1" x14ac:dyDescent="0.2">
      <c r="A14" s="17">
        <v>10</v>
      </c>
      <c r="B14" s="14" t="s">
        <v>43</v>
      </c>
      <c r="C14" s="14" t="s">
        <v>455</v>
      </c>
      <c r="D14" s="14" t="s">
        <v>456</v>
      </c>
      <c r="E14" s="14" t="s">
        <v>457</v>
      </c>
      <c r="F14" s="14" t="s">
        <v>458</v>
      </c>
      <c r="G14" s="30" t="s">
        <v>431</v>
      </c>
      <c r="H14" s="17" t="s">
        <v>424</v>
      </c>
    </row>
    <row r="15" spans="1:8" ht="48" customHeight="1" x14ac:dyDescent="0.2">
      <c r="A15" s="17">
        <v>11</v>
      </c>
      <c r="B15" s="14" t="s">
        <v>43</v>
      </c>
      <c r="C15" s="14" t="s">
        <v>459</v>
      </c>
      <c r="D15" s="14" t="s">
        <v>460</v>
      </c>
      <c r="E15" s="14" t="s">
        <v>461</v>
      </c>
      <c r="F15" s="14" t="s">
        <v>293</v>
      </c>
      <c r="G15" s="29" t="s">
        <v>439</v>
      </c>
      <c r="H15" s="17" t="s">
        <v>424</v>
      </c>
    </row>
    <row r="16" spans="1:8" ht="48" customHeight="1" x14ac:dyDescent="0.2">
      <c r="A16" s="17">
        <v>12</v>
      </c>
      <c r="B16" s="14" t="s">
        <v>51</v>
      </c>
      <c r="C16" s="14" t="s">
        <v>462</v>
      </c>
      <c r="D16" s="14" t="s">
        <v>463</v>
      </c>
      <c r="E16" s="14" t="s">
        <v>464</v>
      </c>
      <c r="F16" s="14" t="s">
        <v>291</v>
      </c>
      <c r="G16" s="39" t="s">
        <v>423</v>
      </c>
      <c r="H16" s="17" t="s">
        <v>424</v>
      </c>
    </row>
    <row r="17" spans="1:8" ht="48" customHeight="1" x14ac:dyDescent="0.2">
      <c r="A17" s="17">
        <v>13</v>
      </c>
      <c r="B17" s="14" t="s">
        <v>54</v>
      </c>
      <c r="C17" s="14" t="s">
        <v>465</v>
      </c>
      <c r="D17" s="14" t="s">
        <v>466</v>
      </c>
      <c r="E17" s="14" t="s">
        <v>467</v>
      </c>
      <c r="F17" s="14" t="s">
        <v>468</v>
      </c>
      <c r="G17" s="30" t="s">
        <v>431</v>
      </c>
      <c r="H17" s="17" t="s">
        <v>424</v>
      </c>
    </row>
  </sheetData>
  <autoFilter ref="A4:H17" xr:uid="{00000000-0009-0000-0000-000008000000}"/>
  <mergeCells count="2">
    <mergeCell ref="A1:H1"/>
    <mergeCell ref="A2:H2"/>
  </mergeCells>
  <dataValidations count="1">
    <dataValidation type="list" allowBlank="1" sqref="H5:H17" xr:uid="{00000000-0002-0000-0800-000000000000}">
      <formula1>"Pendiente,En curso,Resuelto"</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Resumen</vt:lpstr>
      <vt:lpstr>Líneas UCSUR</vt:lpstr>
      <vt:lpstr>Proyectos 2026</vt:lpstr>
      <vt:lpstr>Producción científica</vt:lpstr>
      <vt:lpstr>Tesis 2026</vt:lpstr>
      <vt:lpstr>Postulaciones</vt:lpstr>
      <vt:lpstr>Difusión CTI</vt:lpstr>
      <vt:lpstr>Equipo</vt:lpstr>
      <vt:lpstr>Pendientes y 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Leda Yamilee Hurtado Roca</cp:lastModifiedBy>
  <cp:revision>1</cp:revision>
  <dcterms:created xsi:type="dcterms:W3CDTF">2026-09-22T20:10:49Z</dcterms:created>
  <dcterms:modified xsi:type="dcterms:W3CDTF">2026-09-22T20:23:43Z</dcterms:modified>
  <dc:language>en-US</dc:language>
</cp:coreProperties>
</file>